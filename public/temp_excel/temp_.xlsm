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osting sheet\"/>
    </mc:Choice>
  </mc:AlternateContent>
  <bookViews>
    <workbookView xWindow="-120" yWindow="-120" windowWidth="15480" windowHeight="7920" tabRatio="1000" activeTab="2"/>
  </bookViews>
  <sheets>
    <sheet name="Summary" sheetId="4" r:id="rId1"/>
    <sheet name="New" sheetId="53" state="hidden" r:id="rId2"/>
    <sheet name="46821FAP20000S" sheetId="56" r:id="rId3"/>
  </sheets>
  <definedNames>
    <definedName name="_xlnm._FilterDatabase" localSheetId="0" hidden="1">Summary!$A$8:$AC$12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227" i="56" l="1"/>
  <c r="K229" i="56" s="1"/>
  <c r="K213" i="56"/>
  <c r="J210" i="56"/>
  <c r="H210" i="56"/>
  <c r="K210" i="56" s="1"/>
  <c r="J209" i="56"/>
  <c r="H209" i="56"/>
  <c r="K209" i="56" s="1"/>
  <c r="J208" i="56"/>
  <c r="H208" i="56"/>
  <c r="K208" i="56" s="1"/>
  <c r="J207" i="56"/>
  <c r="H207" i="56"/>
  <c r="K207" i="56" s="1"/>
  <c r="J206" i="56"/>
  <c r="H206" i="56"/>
  <c r="K206" i="56" s="1"/>
  <c r="J205" i="56"/>
  <c r="H205" i="56"/>
  <c r="K205" i="56" s="1"/>
  <c r="J204" i="56"/>
  <c r="H204" i="56"/>
  <c r="K204" i="56" s="1"/>
  <c r="J203" i="56"/>
  <c r="H203" i="56"/>
  <c r="K203" i="56" s="1"/>
  <c r="J202" i="56"/>
  <c r="H202" i="56"/>
  <c r="J201" i="56"/>
  <c r="H201" i="56"/>
  <c r="J200" i="56"/>
  <c r="H200" i="56"/>
  <c r="J179" i="56"/>
  <c r="H179" i="56"/>
  <c r="K179" i="56" s="1"/>
  <c r="J178" i="56"/>
  <c r="H178" i="56"/>
  <c r="K178" i="56" s="1"/>
  <c r="J177" i="56"/>
  <c r="H177" i="56"/>
  <c r="K177" i="56" s="1"/>
  <c r="J176" i="56"/>
  <c r="H176" i="56"/>
  <c r="K176" i="56" s="1"/>
  <c r="J175" i="56"/>
  <c r="H175" i="56"/>
  <c r="K175" i="56" s="1"/>
  <c r="J174" i="56"/>
  <c r="H174" i="56"/>
  <c r="K174" i="56" s="1"/>
  <c r="J173" i="56"/>
  <c r="H173" i="56"/>
  <c r="K173" i="56" s="1"/>
  <c r="J172" i="56"/>
  <c r="H172" i="56"/>
  <c r="K172" i="56" s="1"/>
  <c r="J171" i="56"/>
  <c r="H171" i="56"/>
  <c r="K171" i="56" s="1"/>
  <c r="J170" i="56"/>
  <c r="H170" i="56"/>
  <c r="K170" i="56" s="1"/>
  <c r="J169" i="56"/>
  <c r="H169" i="56"/>
  <c r="K169" i="56" s="1"/>
  <c r="J168" i="56"/>
  <c r="H168" i="56"/>
  <c r="K168" i="56" s="1"/>
  <c r="J167" i="56"/>
  <c r="H167" i="56"/>
  <c r="K167" i="56" s="1"/>
  <c r="J166" i="56"/>
  <c r="H166" i="56"/>
  <c r="K166" i="56" s="1"/>
  <c r="J165" i="56"/>
  <c r="H165" i="56"/>
  <c r="K165" i="56" s="1"/>
  <c r="J164" i="56"/>
  <c r="H164" i="56"/>
  <c r="K164" i="56" s="1"/>
  <c r="J163" i="56"/>
  <c r="H163" i="56"/>
  <c r="K163" i="56" s="1"/>
  <c r="J162" i="56"/>
  <c r="H162" i="56"/>
  <c r="K162" i="56" s="1"/>
  <c r="J161" i="56"/>
  <c r="H161" i="56"/>
  <c r="K161" i="56" s="1"/>
  <c r="J160" i="56"/>
  <c r="H160" i="56"/>
  <c r="K160" i="56" s="1"/>
  <c r="J159" i="56"/>
  <c r="H159" i="56"/>
  <c r="K159" i="56" s="1"/>
  <c r="J158" i="56"/>
  <c r="H158" i="56"/>
  <c r="K158" i="56" s="1"/>
  <c r="J157" i="56"/>
  <c r="H157" i="56"/>
  <c r="K157" i="56" s="1"/>
  <c r="J156" i="56"/>
  <c r="H156" i="56"/>
  <c r="K156" i="56" s="1"/>
  <c r="J155" i="56"/>
  <c r="H155" i="56"/>
  <c r="K155" i="56" s="1"/>
  <c r="J154" i="56"/>
  <c r="H154" i="56"/>
  <c r="K154" i="56" s="1"/>
  <c r="J153" i="56"/>
  <c r="H153" i="56"/>
  <c r="K153" i="56" s="1"/>
  <c r="J152" i="56"/>
  <c r="H152" i="56"/>
  <c r="K152" i="56" s="1"/>
  <c r="J151" i="56"/>
  <c r="H151" i="56"/>
  <c r="K151" i="56" s="1"/>
  <c r="J150" i="56"/>
  <c r="H150" i="56"/>
  <c r="K150" i="56" s="1"/>
  <c r="J149" i="56"/>
  <c r="H149" i="56"/>
  <c r="K149" i="56" s="1"/>
  <c r="K180" i="56" s="1"/>
  <c r="J145" i="56"/>
  <c r="H145" i="56"/>
  <c r="K145" i="56" s="1"/>
  <c r="J144" i="56"/>
  <c r="H144" i="56"/>
  <c r="K144" i="56" s="1"/>
  <c r="J143" i="56"/>
  <c r="H143" i="56"/>
  <c r="K143" i="56" s="1"/>
  <c r="J142" i="56"/>
  <c r="H142" i="56"/>
  <c r="K142" i="56" s="1"/>
  <c r="J141" i="56"/>
  <c r="H141" i="56"/>
  <c r="K141" i="56" s="1"/>
  <c r="J140" i="56"/>
  <c r="H140" i="56"/>
  <c r="K140" i="56" s="1"/>
  <c r="J139" i="56"/>
  <c r="H139" i="56"/>
  <c r="K139" i="56" s="1"/>
  <c r="J138" i="56"/>
  <c r="H138" i="56"/>
  <c r="K138" i="56" s="1"/>
  <c r="J137" i="56"/>
  <c r="H137" i="56"/>
  <c r="K137" i="56" s="1"/>
  <c r="J136" i="56"/>
  <c r="H136" i="56"/>
  <c r="K136" i="56" s="1"/>
  <c r="J135" i="56"/>
  <c r="H135" i="56"/>
  <c r="K135" i="56" s="1"/>
  <c r="J134" i="56"/>
  <c r="H134" i="56"/>
  <c r="K134" i="56" s="1"/>
  <c r="J133" i="56"/>
  <c r="H133" i="56"/>
  <c r="K133" i="56" s="1"/>
  <c r="J132" i="56"/>
  <c r="H132" i="56"/>
  <c r="K132" i="56" s="1"/>
  <c r="J131" i="56"/>
  <c r="H131" i="56"/>
  <c r="K131" i="56" s="1"/>
  <c r="J130" i="56"/>
  <c r="H130" i="56"/>
  <c r="K130" i="56" s="1"/>
  <c r="J129" i="56"/>
  <c r="H129" i="56"/>
  <c r="K129" i="56" s="1"/>
  <c r="J128" i="56"/>
  <c r="H128" i="56"/>
  <c r="K128" i="56" s="1"/>
  <c r="J127" i="56"/>
  <c r="H127" i="56"/>
  <c r="K127" i="56" s="1"/>
  <c r="J126" i="56"/>
  <c r="H126" i="56"/>
  <c r="K126" i="56" s="1"/>
  <c r="J125" i="56"/>
  <c r="H125" i="56"/>
  <c r="K125" i="56" s="1"/>
  <c r="J124" i="56"/>
  <c r="H124" i="56"/>
  <c r="K124" i="56" s="1"/>
  <c r="J123" i="56"/>
  <c r="H123" i="56"/>
  <c r="K123" i="56" s="1"/>
  <c r="J122" i="56"/>
  <c r="H122" i="56"/>
  <c r="K122" i="56" s="1"/>
  <c r="J121" i="56"/>
  <c r="H121" i="56"/>
  <c r="K121" i="56" s="1"/>
  <c r="J120" i="56"/>
  <c r="H120" i="56"/>
  <c r="K120" i="56" s="1"/>
  <c r="J119" i="56"/>
  <c r="H119" i="56"/>
  <c r="K119" i="56" s="1"/>
  <c r="J118" i="56"/>
  <c r="H118" i="56"/>
  <c r="K118" i="56" s="1"/>
  <c r="J117" i="56"/>
  <c r="H117" i="56"/>
  <c r="K117" i="56" s="1"/>
  <c r="J116" i="56"/>
  <c r="H116" i="56"/>
  <c r="K116" i="56" s="1"/>
  <c r="J115" i="56"/>
  <c r="H115" i="56"/>
  <c r="J110" i="56"/>
  <c r="H110" i="56"/>
  <c r="K110" i="56" s="1"/>
  <c r="J109" i="56"/>
  <c r="H109" i="56"/>
  <c r="K109" i="56" s="1"/>
  <c r="J108" i="56"/>
  <c r="H108" i="56"/>
  <c r="J107" i="56"/>
  <c r="H107" i="56"/>
  <c r="J106" i="56"/>
  <c r="H106" i="56"/>
  <c r="J105" i="56"/>
  <c r="H105" i="56"/>
  <c r="J104" i="56"/>
  <c r="H104" i="56"/>
  <c r="J103" i="56"/>
  <c r="H103" i="56"/>
  <c r="J102" i="56"/>
  <c r="H102" i="56"/>
  <c r="J101" i="56"/>
  <c r="H101" i="56"/>
  <c r="J100" i="56"/>
  <c r="H100" i="56"/>
  <c r="J99" i="56"/>
  <c r="H99" i="56"/>
  <c r="J98" i="56"/>
  <c r="H98" i="56"/>
  <c r="J97" i="56"/>
  <c r="H97" i="56"/>
  <c r="J96" i="56"/>
  <c r="H96" i="56"/>
  <c r="J95" i="56"/>
  <c r="H95" i="56"/>
  <c r="J94" i="56"/>
  <c r="H94" i="56"/>
  <c r="J93" i="56"/>
  <c r="H93" i="56"/>
  <c r="J92" i="56"/>
  <c r="H92" i="56"/>
  <c r="J91" i="56"/>
  <c r="H91" i="56"/>
  <c r="J90" i="56"/>
  <c r="H90" i="56"/>
  <c r="J89" i="56"/>
  <c r="H89" i="56"/>
  <c r="J86" i="56"/>
  <c r="H86" i="56"/>
  <c r="K86" i="56" s="1"/>
  <c r="J85" i="56"/>
  <c r="H85" i="56"/>
  <c r="K85" i="56" s="1"/>
  <c r="J84" i="56"/>
  <c r="H84" i="56"/>
  <c r="K84" i="56" s="1"/>
  <c r="J83" i="56"/>
  <c r="H83" i="56"/>
  <c r="K83" i="56" s="1"/>
  <c r="J82" i="56"/>
  <c r="H82" i="56"/>
  <c r="K82" i="56" s="1"/>
  <c r="J81" i="56"/>
  <c r="H81" i="56"/>
  <c r="K81" i="56" s="1"/>
  <c r="J80" i="56"/>
  <c r="H80" i="56"/>
  <c r="K80" i="56" s="1"/>
  <c r="J79" i="56"/>
  <c r="H79" i="56"/>
  <c r="K79" i="56" s="1"/>
  <c r="J78" i="56"/>
  <c r="H78" i="56"/>
  <c r="K78" i="56" s="1"/>
  <c r="J77" i="56"/>
  <c r="H77" i="56"/>
  <c r="K77" i="56" s="1"/>
  <c r="J76" i="56"/>
  <c r="H76" i="56"/>
  <c r="K76" i="56" s="1"/>
  <c r="J75" i="56"/>
  <c r="H75" i="56"/>
  <c r="K75" i="56" s="1"/>
  <c r="J74" i="56"/>
  <c r="H74" i="56"/>
  <c r="K74" i="56" s="1"/>
  <c r="J73" i="56"/>
  <c r="H73" i="56"/>
  <c r="K73" i="56" s="1"/>
  <c r="J72" i="56"/>
  <c r="H72" i="56"/>
  <c r="K72" i="56" s="1"/>
  <c r="J71" i="56"/>
  <c r="H71" i="56"/>
  <c r="K71" i="56" s="1"/>
  <c r="J70" i="56"/>
  <c r="H70" i="56"/>
  <c r="K70" i="56" s="1"/>
  <c r="J69" i="56"/>
  <c r="H69" i="56"/>
  <c r="K69" i="56" s="1"/>
  <c r="J68" i="56"/>
  <c r="H68" i="56"/>
  <c r="K68" i="56" s="1"/>
  <c r="J67" i="56"/>
  <c r="H67" i="56"/>
  <c r="K67" i="56" s="1"/>
  <c r="J66" i="56"/>
  <c r="H66" i="56"/>
  <c r="K66" i="56" s="1"/>
  <c r="J65" i="56"/>
  <c r="H65" i="56"/>
  <c r="K65" i="56" s="1"/>
  <c r="J59" i="56"/>
  <c r="H59" i="56"/>
  <c r="K59" i="56" s="1"/>
  <c r="J58" i="56"/>
  <c r="H58" i="56"/>
  <c r="K58" i="56" s="1"/>
  <c r="J57" i="56"/>
  <c r="H57" i="56"/>
  <c r="K57" i="56" s="1"/>
  <c r="J56" i="56"/>
  <c r="H56" i="56"/>
  <c r="K56" i="56" s="1"/>
  <c r="J55" i="56"/>
  <c r="H55" i="56"/>
  <c r="K55" i="56" s="1"/>
  <c r="J54" i="56"/>
  <c r="H54" i="56"/>
  <c r="K54" i="56" s="1"/>
  <c r="J53" i="56"/>
  <c r="H53" i="56"/>
  <c r="K53" i="56" s="1"/>
  <c r="J52" i="56"/>
  <c r="H52" i="56"/>
  <c r="K52" i="56" s="1"/>
  <c r="J51" i="56"/>
  <c r="H51" i="56"/>
  <c r="K51" i="56" s="1"/>
  <c r="J50" i="56"/>
  <c r="H50" i="56"/>
  <c r="K50" i="56" s="1"/>
  <c r="J49" i="56"/>
  <c r="H49" i="56"/>
  <c r="J46" i="56"/>
  <c r="H46" i="56"/>
  <c r="K46" i="56" s="1"/>
  <c r="J45" i="56"/>
  <c r="H45" i="56"/>
  <c r="K45" i="56" s="1"/>
  <c r="J44" i="56"/>
  <c r="H44" i="56"/>
  <c r="K44" i="56" s="1"/>
  <c r="J43" i="56"/>
  <c r="H43" i="56"/>
  <c r="K43" i="56" s="1"/>
  <c r="J42" i="56"/>
  <c r="H42" i="56"/>
  <c r="K42" i="56" s="1"/>
  <c r="J41" i="56"/>
  <c r="H41" i="56"/>
  <c r="K41" i="56" s="1"/>
  <c r="J40" i="56"/>
  <c r="H40" i="56"/>
  <c r="K40" i="56" s="1"/>
  <c r="J39" i="56"/>
  <c r="H39" i="56"/>
  <c r="K39" i="56" s="1"/>
  <c r="J38" i="56"/>
  <c r="H38" i="56"/>
  <c r="K38" i="56" s="1"/>
  <c r="J37" i="56"/>
  <c r="H37" i="56"/>
  <c r="K37" i="56" s="1"/>
  <c r="J36" i="56"/>
  <c r="H36" i="56"/>
  <c r="K36" i="56" s="1"/>
  <c r="J35" i="56"/>
  <c r="H35" i="56"/>
  <c r="K35" i="56" s="1"/>
  <c r="K47" i="56" s="1"/>
  <c r="J29" i="56"/>
  <c r="H29" i="56"/>
  <c r="K29" i="56" s="1"/>
  <c r="J28" i="56"/>
  <c r="H28" i="56"/>
  <c r="K28" i="56" s="1"/>
  <c r="J27" i="56"/>
  <c r="H27" i="56"/>
  <c r="K27" i="56" s="1"/>
  <c r="J26" i="56"/>
  <c r="H26" i="56"/>
  <c r="K26" i="56" s="1"/>
  <c r="J25" i="56"/>
  <c r="H25" i="56"/>
  <c r="K25" i="56" s="1"/>
  <c r="J24" i="56"/>
  <c r="H24" i="56"/>
  <c r="K24" i="56" s="1"/>
  <c r="J23" i="56"/>
  <c r="H23" i="56"/>
  <c r="K23" i="56" s="1"/>
  <c r="J20" i="56"/>
  <c r="H20" i="56"/>
  <c r="K20" i="56" s="1"/>
  <c r="J19" i="56"/>
  <c r="H19" i="56"/>
  <c r="K19" i="56" s="1"/>
  <c r="J18" i="56"/>
  <c r="H18" i="56"/>
  <c r="K18" i="56" s="1"/>
  <c r="J17" i="56"/>
  <c r="H17" i="56"/>
  <c r="J16" i="56"/>
  <c r="H16" i="56"/>
  <c r="J15" i="56"/>
  <c r="H15" i="56"/>
  <c r="J14" i="56"/>
  <c r="H14" i="56"/>
  <c r="K87" i="56" l="1"/>
  <c r="K17" i="56"/>
  <c r="K49" i="56"/>
  <c r="K60" i="56" s="1"/>
  <c r="K61" i="56" s="1"/>
  <c r="K16" i="56"/>
  <c r="K106" i="56"/>
  <c r="K108" i="56"/>
  <c r="K90" i="56"/>
  <c r="K91" i="56"/>
  <c r="K92" i="56"/>
  <c r="K93" i="56"/>
  <c r="K95" i="56"/>
  <c r="K97" i="56"/>
  <c r="K98" i="56"/>
  <c r="K99" i="56"/>
  <c r="K100" i="56"/>
  <c r="K101" i="56"/>
  <c r="K102" i="56"/>
  <c r="K103" i="56"/>
  <c r="K104" i="56"/>
  <c r="K105" i="56"/>
  <c r="K115" i="56"/>
  <c r="K146" i="56" s="1"/>
  <c r="K96" i="56"/>
  <c r="K94" i="56"/>
  <c r="K89" i="56"/>
  <c r="K107" i="56"/>
  <c r="K15" i="56"/>
  <c r="K14" i="56"/>
  <c r="K200" i="56"/>
  <c r="K201" i="56"/>
  <c r="K202" i="56"/>
  <c r="K30" i="56"/>
  <c r="H14" i="53"/>
  <c r="J14" i="53"/>
  <c r="H15" i="53"/>
  <c r="J15" i="53"/>
  <c r="K15" i="53"/>
  <c r="H16" i="53"/>
  <c r="J16" i="53"/>
  <c r="K16" i="53"/>
  <c r="H17" i="53"/>
  <c r="K17" i="53" s="1"/>
  <c r="J17" i="53"/>
  <c r="H18" i="53"/>
  <c r="K18" i="53" s="1"/>
  <c r="J18" i="53"/>
  <c r="H19" i="53"/>
  <c r="J19" i="53"/>
  <c r="K19" i="53"/>
  <c r="H20" i="53"/>
  <c r="J20" i="53"/>
  <c r="K20" i="53"/>
  <c r="H23" i="53"/>
  <c r="J23" i="53"/>
  <c r="K23" i="53"/>
  <c r="H24" i="53"/>
  <c r="K24" i="53" s="1"/>
  <c r="J24" i="53"/>
  <c r="H25" i="53"/>
  <c r="J25" i="53"/>
  <c r="H26" i="53"/>
  <c r="J26" i="53"/>
  <c r="K26" i="53"/>
  <c r="H27" i="53"/>
  <c r="J27" i="53"/>
  <c r="K27" i="53"/>
  <c r="H28" i="53"/>
  <c r="K28" i="53" s="1"/>
  <c r="J28" i="53"/>
  <c r="H29" i="53"/>
  <c r="K29" i="53" s="1"/>
  <c r="J29" i="53"/>
  <c r="H35" i="53"/>
  <c r="K35" i="53" s="1"/>
  <c r="J35" i="53"/>
  <c r="H36" i="53"/>
  <c r="J36" i="53"/>
  <c r="H37" i="53"/>
  <c r="J37" i="53"/>
  <c r="K37" i="53" s="1"/>
  <c r="H38" i="53"/>
  <c r="J38" i="53"/>
  <c r="K38" i="53"/>
  <c r="H39" i="53"/>
  <c r="K39" i="53" s="1"/>
  <c r="J39" i="53"/>
  <c r="H40" i="53"/>
  <c r="J40" i="53"/>
  <c r="H41" i="53"/>
  <c r="J41" i="53"/>
  <c r="K41" i="53"/>
  <c r="H42" i="53"/>
  <c r="J42" i="53"/>
  <c r="K42" i="53"/>
  <c r="H43" i="53"/>
  <c r="K43" i="53" s="1"/>
  <c r="J43" i="53"/>
  <c r="H44" i="53"/>
  <c r="J44" i="53"/>
  <c r="H45" i="53"/>
  <c r="J45" i="53"/>
  <c r="K45" i="53" s="1"/>
  <c r="H46" i="53"/>
  <c r="J46" i="53"/>
  <c r="K46" i="53"/>
  <c r="H49" i="53"/>
  <c r="J49" i="53"/>
  <c r="K49" i="53"/>
  <c r="H50" i="53"/>
  <c r="K50" i="53" s="1"/>
  <c r="J50" i="53"/>
  <c r="H51" i="53"/>
  <c r="J51" i="53"/>
  <c r="H52" i="53"/>
  <c r="J52" i="53"/>
  <c r="K52" i="53"/>
  <c r="H53" i="53"/>
  <c r="J53" i="53"/>
  <c r="K53" i="53"/>
  <c r="H54" i="53"/>
  <c r="K54" i="53" s="1"/>
  <c r="J54" i="53"/>
  <c r="H55" i="53"/>
  <c r="J55" i="53"/>
  <c r="H56" i="53"/>
  <c r="J56" i="53"/>
  <c r="K56" i="53" s="1"/>
  <c r="H57" i="53"/>
  <c r="J57" i="53"/>
  <c r="K57" i="53"/>
  <c r="H58" i="53"/>
  <c r="K58" i="53" s="1"/>
  <c r="J58" i="53"/>
  <c r="H59" i="53"/>
  <c r="J59" i="53"/>
  <c r="H65" i="53"/>
  <c r="K65" i="53" s="1"/>
  <c r="J65" i="53"/>
  <c r="H66" i="53"/>
  <c r="K66" i="53" s="1"/>
  <c r="J66" i="53"/>
  <c r="H67" i="53"/>
  <c r="J67" i="53"/>
  <c r="K67" i="53"/>
  <c r="H68" i="53"/>
  <c r="J68" i="53"/>
  <c r="K68" i="53"/>
  <c r="H69" i="53"/>
  <c r="K69" i="53" s="1"/>
  <c r="J69" i="53"/>
  <c r="H70" i="53"/>
  <c r="J70" i="53"/>
  <c r="H71" i="53"/>
  <c r="J71" i="53"/>
  <c r="K71" i="53"/>
  <c r="H72" i="53"/>
  <c r="J72" i="53"/>
  <c r="K72" i="53"/>
  <c r="H73" i="53"/>
  <c r="K73" i="53" s="1"/>
  <c r="J73" i="53"/>
  <c r="H74" i="53"/>
  <c r="K74" i="53" s="1"/>
  <c r="J74" i="53"/>
  <c r="H75" i="53"/>
  <c r="J75" i="53"/>
  <c r="K75" i="53"/>
  <c r="H76" i="53"/>
  <c r="J76" i="53"/>
  <c r="K76" i="53"/>
  <c r="H77" i="53"/>
  <c r="K77" i="53" s="1"/>
  <c r="J77" i="53"/>
  <c r="H78" i="53"/>
  <c r="J78" i="53"/>
  <c r="H79" i="53"/>
  <c r="J79" i="53"/>
  <c r="K79" i="53"/>
  <c r="H80" i="53"/>
  <c r="J80" i="53"/>
  <c r="K80" i="53"/>
  <c r="H81" i="53"/>
  <c r="K81" i="53" s="1"/>
  <c r="J81" i="53"/>
  <c r="H82" i="53"/>
  <c r="K82" i="53" s="1"/>
  <c r="J82" i="53"/>
  <c r="H83" i="53"/>
  <c r="J83" i="53"/>
  <c r="K83" i="53"/>
  <c r="H84" i="53"/>
  <c r="J84" i="53"/>
  <c r="K84" i="53"/>
  <c r="H85" i="53"/>
  <c r="K85" i="53" s="1"/>
  <c r="J85" i="53"/>
  <c r="H86" i="53"/>
  <c r="J86" i="53"/>
  <c r="H89" i="53"/>
  <c r="K89" i="53" s="1"/>
  <c r="J89" i="53"/>
  <c r="H90" i="53"/>
  <c r="J90" i="53"/>
  <c r="K90" i="53"/>
  <c r="H91" i="53"/>
  <c r="J91" i="53"/>
  <c r="K91" i="53"/>
  <c r="H92" i="53"/>
  <c r="K92" i="53" s="1"/>
  <c r="J92" i="53"/>
  <c r="H93" i="53"/>
  <c r="J93" i="53"/>
  <c r="H94" i="53"/>
  <c r="J94" i="53"/>
  <c r="K94" i="53"/>
  <c r="H95" i="53"/>
  <c r="J95" i="53"/>
  <c r="K95" i="53"/>
  <c r="H96" i="53"/>
  <c r="K96" i="53" s="1"/>
  <c r="J96" i="53"/>
  <c r="H97" i="53"/>
  <c r="K97" i="53" s="1"/>
  <c r="J97" i="53"/>
  <c r="H98" i="53"/>
  <c r="J98" i="53"/>
  <c r="K98" i="53"/>
  <c r="H99" i="53"/>
  <c r="J99" i="53"/>
  <c r="K99" i="53"/>
  <c r="H100" i="53"/>
  <c r="K100" i="53" s="1"/>
  <c r="J100" i="53"/>
  <c r="H101" i="53"/>
  <c r="J101" i="53"/>
  <c r="H102" i="53"/>
  <c r="J102" i="53"/>
  <c r="K102" i="53"/>
  <c r="H103" i="53"/>
  <c r="J103" i="53"/>
  <c r="K103" i="53"/>
  <c r="H104" i="53"/>
  <c r="K104" i="53" s="1"/>
  <c r="J104" i="53"/>
  <c r="H105" i="53"/>
  <c r="K105" i="53" s="1"/>
  <c r="J105" i="53"/>
  <c r="H106" i="53"/>
  <c r="J106" i="53"/>
  <c r="K106" i="53"/>
  <c r="H107" i="53"/>
  <c r="J107" i="53"/>
  <c r="K107" i="53"/>
  <c r="H108" i="53"/>
  <c r="K108" i="53" s="1"/>
  <c r="J108" i="53"/>
  <c r="H109" i="53"/>
  <c r="J109" i="53"/>
  <c r="H110" i="53"/>
  <c r="J110" i="53"/>
  <c r="K110" i="53"/>
  <c r="H115" i="53"/>
  <c r="J115" i="53"/>
  <c r="K115" i="53" s="1"/>
  <c r="H116" i="53"/>
  <c r="J116" i="53"/>
  <c r="K116" i="53"/>
  <c r="H117" i="53"/>
  <c r="K117" i="53" s="1"/>
  <c r="J117" i="53"/>
  <c r="H118" i="53"/>
  <c r="J118" i="53"/>
  <c r="H119" i="53"/>
  <c r="J119" i="53"/>
  <c r="K119" i="53"/>
  <c r="H120" i="53"/>
  <c r="J120" i="53"/>
  <c r="K120" i="53"/>
  <c r="H121" i="53"/>
  <c r="K121" i="53" s="1"/>
  <c r="J121" i="53"/>
  <c r="H122" i="53"/>
  <c r="J122" i="53"/>
  <c r="H123" i="53"/>
  <c r="J123" i="53"/>
  <c r="K123" i="53" s="1"/>
  <c r="H124" i="53"/>
  <c r="J124" i="53"/>
  <c r="K124" i="53"/>
  <c r="H125" i="53"/>
  <c r="K125" i="53" s="1"/>
  <c r="J125" i="53"/>
  <c r="H126" i="53"/>
  <c r="J126" i="53"/>
  <c r="H127" i="53"/>
  <c r="J127" i="53"/>
  <c r="K127" i="53"/>
  <c r="H128" i="53"/>
  <c r="J128" i="53"/>
  <c r="K128" i="53"/>
  <c r="H129" i="53"/>
  <c r="K129" i="53" s="1"/>
  <c r="J129" i="53"/>
  <c r="H130" i="53"/>
  <c r="J130" i="53"/>
  <c r="H131" i="53"/>
  <c r="J131" i="53"/>
  <c r="K131" i="53" s="1"/>
  <c r="H132" i="53"/>
  <c r="J132" i="53"/>
  <c r="K132" i="53"/>
  <c r="H133" i="53"/>
  <c r="K133" i="53" s="1"/>
  <c r="J133" i="53"/>
  <c r="H134" i="53"/>
  <c r="J134" i="53"/>
  <c r="H135" i="53"/>
  <c r="J135" i="53"/>
  <c r="K135" i="53"/>
  <c r="H136" i="53"/>
  <c r="J136" i="53"/>
  <c r="K136" i="53"/>
  <c r="H137" i="53"/>
  <c r="K137" i="53" s="1"/>
  <c r="J137" i="53"/>
  <c r="H138" i="53"/>
  <c r="J138" i="53"/>
  <c r="H139" i="53"/>
  <c r="J139" i="53"/>
  <c r="K139" i="53" s="1"/>
  <c r="H140" i="53"/>
  <c r="J140" i="53"/>
  <c r="K140" i="53"/>
  <c r="H141" i="53"/>
  <c r="K141" i="53" s="1"/>
  <c r="J141" i="53"/>
  <c r="H142" i="53"/>
  <c r="J142" i="53"/>
  <c r="H143" i="53"/>
  <c r="J143" i="53"/>
  <c r="K143" i="53"/>
  <c r="H144" i="53"/>
  <c r="J144" i="53"/>
  <c r="K144" i="53"/>
  <c r="H145" i="53"/>
  <c r="K145" i="53" s="1"/>
  <c r="J145" i="53"/>
  <c r="H149" i="53"/>
  <c r="K149" i="53" s="1"/>
  <c r="J149" i="53"/>
  <c r="H150" i="53"/>
  <c r="K150" i="53" s="1"/>
  <c r="J150" i="53"/>
  <c r="H151" i="53"/>
  <c r="J151" i="53"/>
  <c r="K151" i="53"/>
  <c r="H152" i="53"/>
  <c r="J152" i="53"/>
  <c r="K152" i="53"/>
  <c r="H153" i="53"/>
  <c r="K153" i="53" s="1"/>
  <c r="J153" i="53"/>
  <c r="H154" i="53"/>
  <c r="J154" i="53"/>
  <c r="H155" i="53"/>
  <c r="J155" i="53"/>
  <c r="K155" i="53"/>
  <c r="H156" i="53"/>
  <c r="J156" i="53"/>
  <c r="K156" i="53"/>
  <c r="H157" i="53"/>
  <c r="K157" i="53" s="1"/>
  <c r="J157" i="53"/>
  <c r="H158" i="53"/>
  <c r="K158" i="53" s="1"/>
  <c r="J158" i="53"/>
  <c r="H159" i="53"/>
  <c r="J159" i="53"/>
  <c r="K159" i="53"/>
  <c r="H160" i="53"/>
  <c r="J160" i="53"/>
  <c r="K160" i="53"/>
  <c r="H161" i="53"/>
  <c r="K161" i="53" s="1"/>
  <c r="J161" i="53"/>
  <c r="H162" i="53"/>
  <c r="J162" i="53"/>
  <c r="H163" i="53"/>
  <c r="J163" i="53"/>
  <c r="K163" i="53"/>
  <c r="H164" i="53"/>
  <c r="J164" i="53"/>
  <c r="K164" i="53"/>
  <c r="H165" i="53"/>
  <c r="K165" i="53" s="1"/>
  <c r="J165" i="53"/>
  <c r="H166" i="53"/>
  <c r="K166" i="53" s="1"/>
  <c r="J166" i="53"/>
  <c r="H167" i="53"/>
  <c r="J167" i="53"/>
  <c r="K167" i="53"/>
  <c r="H168" i="53"/>
  <c r="J168" i="53"/>
  <c r="K168" i="53"/>
  <c r="H169" i="53"/>
  <c r="K169" i="53" s="1"/>
  <c r="J169" i="53"/>
  <c r="H170" i="53"/>
  <c r="J170" i="53"/>
  <c r="H171" i="53"/>
  <c r="J171" i="53"/>
  <c r="K171" i="53"/>
  <c r="H172" i="53"/>
  <c r="J172" i="53"/>
  <c r="K172" i="53"/>
  <c r="H173" i="53"/>
  <c r="K173" i="53" s="1"/>
  <c r="J173" i="53"/>
  <c r="H174" i="53"/>
  <c r="K174" i="53" s="1"/>
  <c r="J174" i="53"/>
  <c r="H175" i="53"/>
  <c r="J175" i="53"/>
  <c r="K175" i="53"/>
  <c r="H176" i="53"/>
  <c r="J176" i="53"/>
  <c r="K176" i="53"/>
  <c r="H177" i="53"/>
  <c r="K177" i="53" s="1"/>
  <c r="J177" i="53"/>
  <c r="H178" i="53"/>
  <c r="J178" i="53"/>
  <c r="H179" i="53"/>
  <c r="J179" i="53"/>
  <c r="K179" i="53"/>
  <c r="H200" i="53"/>
  <c r="J200" i="53"/>
  <c r="K200" i="53" s="1"/>
  <c r="H201" i="53"/>
  <c r="J201" i="53"/>
  <c r="K201" i="53"/>
  <c r="H202" i="53"/>
  <c r="K202" i="53" s="1"/>
  <c r="J202" i="53"/>
  <c r="H203" i="53"/>
  <c r="J203" i="53"/>
  <c r="H204" i="53"/>
  <c r="J204" i="53"/>
  <c r="K204" i="53"/>
  <c r="H205" i="53"/>
  <c r="J205" i="53"/>
  <c r="K205" i="53"/>
  <c r="H206" i="53"/>
  <c r="K206" i="53" s="1"/>
  <c r="J206" i="53"/>
  <c r="H207" i="53"/>
  <c r="J207" i="53"/>
  <c r="H208" i="53"/>
  <c r="J208" i="53"/>
  <c r="K208" i="53" s="1"/>
  <c r="H209" i="53"/>
  <c r="J209" i="53"/>
  <c r="K209" i="53"/>
  <c r="H210" i="53"/>
  <c r="K210" i="53" s="1"/>
  <c r="J210" i="53"/>
  <c r="K213" i="53"/>
  <c r="K227" i="53"/>
  <c r="K229" i="53"/>
  <c r="K203" i="53" l="1"/>
  <c r="K211" i="53" s="1"/>
  <c r="K134" i="53"/>
  <c r="K59" i="53"/>
  <c r="K51" i="53"/>
  <c r="K60" i="53" s="1"/>
  <c r="K40" i="53"/>
  <c r="K162" i="53"/>
  <c r="K154" i="53"/>
  <c r="K180" i="53" s="1"/>
  <c r="K109" i="53"/>
  <c r="K101" i="53"/>
  <c r="K78" i="53"/>
  <c r="K70" i="53"/>
  <c r="K87" i="53" s="1"/>
  <c r="K25" i="53"/>
  <c r="K30" i="53" s="1"/>
  <c r="K14" i="53"/>
  <c r="K21" i="53" s="1"/>
  <c r="K142" i="53"/>
  <c r="K126" i="53"/>
  <c r="K118" i="53"/>
  <c r="K178" i="53"/>
  <c r="K170" i="53"/>
  <c r="K93" i="53"/>
  <c r="K111" i="53" s="1"/>
  <c r="K112" i="53" s="1"/>
  <c r="K86" i="53"/>
  <c r="K207" i="53"/>
  <c r="K138" i="53"/>
  <c r="K130" i="53"/>
  <c r="K122" i="53"/>
  <c r="K146" i="53" s="1"/>
  <c r="K55" i="53"/>
  <c r="K44" i="53"/>
  <c r="K36" i="53"/>
  <c r="K47" i="53" s="1"/>
  <c r="K61" i="53" s="1"/>
  <c r="K111" i="56"/>
  <c r="K112" i="56" s="1"/>
  <c r="K21" i="56"/>
  <c r="K31" i="56" s="1"/>
  <c r="K211" i="56"/>
  <c r="K31" i="53" l="1"/>
  <c r="K215" i="53" s="1"/>
  <c r="K215" i="56"/>
  <c r="K217" i="56" s="1"/>
  <c r="K219" i="56" s="1"/>
  <c r="K221" i="56" s="1"/>
  <c r="K223" i="56" s="1"/>
  <c r="K217" i="53" l="1"/>
  <c r="K219" i="53"/>
  <c r="K221" i="53" s="1"/>
  <c r="K223" i="53" s="1"/>
</calcChain>
</file>

<file path=xl/sharedStrings.xml><?xml version="1.0" encoding="utf-8"?>
<sst xmlns="http://schemas.openxmlformats.org/spreadsheetml/2006/main" count="438" uniqueCount="181">
  <si>
    <t>QUOTATION</t>
  </si>
  <si>
    <t>Customer:</t>
  </si>
  <si>
    <t>Forecast Qty:</t>
  </si>
  <si>
    <t>Brand:</t>
  </si>
  <si>
    <t>Size Range:</t>
  </si>
  <si>
    <t>Season:</t>
  </si>
  <si>
    <t>Delivery:</t>
  </si>
  <si>
    <t xml:space="preserve">Style #: </t>
  </si>
  <si>
    <t>Destination:</t>
  </si>
  <si>
    <t>Fabric</t>
  </si>
  <si>
    <t>Position</t>
  </si>
  <si>
    <t>Fabrication</t>
  </si>
  <si>
    <t>Description</t>
  </si>
  <si>
    <t>Supplier</t>
  </si>
  <si>
    <t>Cons</t>
  </si>
  <si>
    <t>Allow</t>
  </si>
  <si>
    <t>Freight</t>
  </si>
  <si>
    <t>Total Price</t>
  </si>
  <si>
    <t xml:space="preserve">Total Fabric: </t>
  </si>
  <si>
    <t>Special Trims</t>
  </si>
  <si>
    <t>Price</t>
  </si>
  <si>
    <t>Total Special Trims:</t>
  </si>
  <si>
    <t>Trims</t>
  </si>
  <si>
    <t>Trims / Accessories</t>
  </si>
  <si>
    <t>Total Trims/Accessories:</t>
  </si>
  <si>
    <t>Embellishment</t>
  </si>
  <si>
    <t>Total Embellishment:</t>
  </si>
  <si>
    <t>Washing</t>
  </si>
  <si>
    <t>Finishing</t>
  </si>
  <si>
    <t>Miscellaneous</t>
  </si>
  <si>
    <t xml:space="preserve">Total Miscellaneous: </t>
  </si>
  <si>
    <t>CM(Cut/ Make)</t>
  </si>
  <si>
    <t xml:space="preserve"> </t>
  </si>
  <si>
    <t xml:space="preserve">Handling  </t>
  </si>
  <si>
    <t xml:space="preserve">          </t>
  </si>
  <si>
    <t>Total Cost</t>
  </si>
  <si>
    <t>Margin</t>
  </si>
  <si>
    <t>Offer Price</t>
  </si>
  <si>
    <t>CONFIRMED PRICE</t>
  </si>
  <si>
    <t>Printing Embro</t>
  </si>
  <si>
    <t>Customer</t>
  </si>
  <si>
    <t>Brand</t>
  </si>
  <si>
    <t>Season</t>
  </si>
  <si>
    <t xml:space="preserve">Style # </t>
  </si>
  <si>
    <t>Forecast Qty</t>
  </si>
  <si>
    <t>Size Range</t>
  </si>
  <si>
    <t>Delivery</t>
  </si>
  <si>
    <t>Destination</t>
  </si>
  <si>
    <t>Date of Quote</t>
  </si>
  <si>
    <t>Exchange Rate</t>
  </si>
  <si>
    <t>Total Fabric</t>
  </si>
  <si>
    <t>Total Special Trims</t>
  </si>
  <si>
    <t>Embelishment</t>
  </si>
  <si>
    <t>60482 teo</t>
  </si>
  <si>
    <t>Note:</t>
  </si>
  <si>
    <t>* Sheet Summary jangan diganti Nama Dan Posisinya</t>
  </si>
  <si>
    <t>B4</t>
  </si>
  <si>
    <t>B5</t>
  </si>
  <si>
    <t>B6</t>
  </si>
  <si>
    <t>B7</t>
  </si>
  <si>
    <t>E4</t>
  </si>
  <si>
    <t>E5</t>
  </si>
  <si>
    <t>E6</t>
  </si>
  <si>
    <t>E7</t>
  </si>
  <si>
    <t>E8</t>
  </si>
  <si>
    <t>E9</t>
  </si>
  <si>
    <t>K211</t>
  </si>
  <si>
    <t>K213</t>
  </si>
  <si>
    <t>K215</t>
  </si>
  <si>
    <t>K217</t>
  </si>
  <si>
    <t>K219</t>
  </si>
  <si>
    <t>K221</t>
  </si>
  <si>
    <t>B8</t>
  </si>
  <si>
    <t>* Untuk mengaktifkan Macro Excel silahkan minta bantuan IT</t>
  </si>
  <si>
    <t>SMV</t>
  </si>
  <si>
    <t>RATE</t>
  </si>
  <si>
    <t>Rate</t>
  </si>
  <si>
    <t>G9</t>
  </si>
  <si>
    <t>I9</t>
  </si>
  <si>
    <t>* Posisi Total Tiap section jangan dirubah-rubah (inputan A7 sd AA7, untuk Acuan Cell Total Tiap Sheet)</t>
  </si>
  <si>
    <t>Description:</t>
    <phoneticPr fontId="0" type="noConversion"/>
  </si>
  <si>
    <t>Date of Quote:</t>
    <phoneticPr fontId="0" type="noConversion"/>
  </si>
  <si>
    <t>Description</t>
    <phoneticPr fontId="0"/>
  </si>
  <si>
    <t>Cons</t>
    <phoneticPr fontId="0"/>
  </si>
  <si>
    <t>Total Printing Embro</t>
  </si>
  <si>
    <t>Width"</t>
    <phoneticPr fontId="0" type="noConversion"/>
  </si>
  <si>
    <t xml:space="preserve">Exchange Rate: </t>
  </si>
  <si>
    <t>di isi nama buyer</t>
  </si>
  <si>
    <t>di isi nama brand</t>
  </si>
  <si>
    <t>di isi style</t>
  </si>
  <si>
    <t>di isi season</t>
  </si>
  <si>
    <t>di isi keterangan style sesuai tech pack</t>
  </si>
  <si>
    <t>di isi qty (jika ada)</t>
  </si>
  <si>
    <t>di isi sesuai tech pack</t>
  </si>
  <si>
    <t>di isi jika ada</t>
  </si>
  <si>
    <t>di isi jka ada</t>
  </si>
  <si>
    <t>tanggal pembuatan</t>
  </si>
  <si>
    <t>kurs saat pebuatan</t>
  </si>
  <si>
    <t>Business Unit</t>
  </si>
  <si>
    <t>di isi sketch dari tech pack</t>
  </si>
  <si>
    <t>Total Washing</t>
  </si>
  <si>
    <t>smv*rate</t>
  </si>
  <si>
    <t>5% dari total cost</t>
  </si>
  <si>
    <t>Sales Fee</t>
  </si>
  <si>
    <t>total cost + handling</t>
  </si>
  <si>
    <t>Offer Price + Sales Fee</t>
  </si>
  <si>
    <t>Total Cost + handling + Margin</t>
  </si>
  <si>
    <t>Total Cost + Handling</t>
  </si>
  <si>
    <t>Total Cost + Handling + Margin</t>
  </si>
  <si>
    <t>K223</t>
  </si>
  <si>
    <t>K225</t>
  </si>
  <si>
    <t>Lokal</t>
  </si>
  <si>
    <t>Import</t>
  </si>
  <si>
    <t>Total Special Trims Lokal</t>
  </si>
  <si>
    <t>Total Special Trims Import</t>
  </si>
  <si>
    <t>Total Fabric Lokal</t>
  </si>
  <si>
    <t>Total Fabric Import</t>
  </si>
  <si>
    <t>Total Trims Lokal</t>
  </si>
  <si>
    <t>Total Trims Import</t>
  </si>
  <si>
    <t>K31</t>
  </si>
  <si>
    <t>K112</t>
  </si>
  <si>
    <t>K146</t>
  </si>
  <si>
    <t>K180</t>
  </si>
  <si>
    <t>K227</t>
  </si>
  <si>
    <t>K229</t>
  </si>
  <si>
    <t>K231</t>
  </si>
  <si>
    <t>10% dari TOTAL COST + HANDLING</t>
  </si>
  <si>
    <t>K61</t>
  </si>
  <si>
    <t>YARD</t>
  </si>
  <si>
    <t>Lab Test</t>
  </si>
  <si>
    <t>Development cost</t>
  </si>
  <si>
    <t>Bank Charges</t>
  </si>
  <si>
    <t>KG</t>
  </si>
  <si>
    <t>Width"</t>
  </si>
  <si>
    <t>Description:</t>
  </si>
  <si>
    <t>Date of Quote:</t>
  </si>
  <si>
    <t>MAIN SIZE LABEL</t>
  </si>
  <si>
    <t>CARE LABEL</t>
  </si>
  <si>
    <t>TRACKING LABEL</t>
  </si>
  <si>
    <t>Thread</t>
  </si>
  <si>
    <t>Carton Box</t>
  </si>
  <si>
    <t>Lak Ban</t>
  </si>
  <si>
    <t>Cardboard</t>
  </si>
  <si>
    <t>HangTag</t>
  </si>
  <si>
    <t>Tag Pin</t>
  </si>
  <si>
    <t>Blister Bag</t>
  </si>
  <si>
    <t>Sticker Carton</t>
  </si>
  <si>
    <t>Hanger</t>
  </si>
  <si>
    <t xml:space="preserve">ASUMSI PERHITUNGAN TRIMS &amp; ACCESORIES </t>
  </si>
  <si>
    <t>NOTE</t>
  </si>
  <si>
    <t>46821FAP20000S</t>
  </si>
  <si>
    <t>USA</t>
  </si>
  <si>
    <t>ZELOS BOYS</t>
  </si>
  <si>
    <t>BELK</t>
  </si>
  <si>
    <t xml:space="preserve">( 60% COTTON 40%POLYESTER FLEECE  245 GSM) </t>
  </si>
  <si>
    <t>ALL BODY</t>
  </si>
  <si>
    <t>WAIST BAND</t>
  </si>
  <si>
    <t>DRAWCORD</t>
  </si>
  <si>
    <t>2X2 RIB</t>
  </si>
  <si>
    <t>46821FAP00001S</t>
  </si>
  <si>
    <t>46821FAK10000S - 1</t>
  </si>
  <si>
    <t>46821FAK10000S - 1 LONG SLEVEE</t>
  </si>
  <si>
    <t xml:space="preserve">46821FAK10001S </t>
  </si>
  <si>
    <t xml:space="preserve">46821FAK10002S   </t>
  </si>
  <si>
    <t>46821FAK10004S</t>
  </si>
  <si>
    <t>46821FAK10005S</t>
  </si>
  <si>
    <t>46821FAK10005S LONG SLEVEE</t>
  </si>
  <si>
    <t xml:space="preserve"> 46821FAK10006S    </t>
  </si>
  <si>
    <t>46821FAK10007S</t>
  </si>
  <si>
    <t xml:space="preserve">46821FAK10008S    </t>
  </si>
  <si>
    <t xml:space="preserve"> 46821FAK10009S </t>
  </si>
  <si>
    <t>3 STIPE(2COLOR)</t>
  </si>
  <si>
    <t xml:space="preserve">SIDE BODY </t>
  </si>
  <si>
    <t>CUFF+ WAIST BAND</t>
  </si>
  <si>
    <t xml:space="preserve">WEIT POCKET </t>
  </si>
  <si>
    <t>10-12/M.</t>
  </si>
  <si>
    <t>10-12/M</t>
  </si>
  <si>
    <t>10/12-M.</t>
  </si>
  <si>
    <t xml:space="preserve">46821FAK10000S - 2 </t>
  </si>
  <si>
    <t>M</t>
  </si>
  <si>
    <t>BU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</si>
</sst>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&quot;$&quot;#,##0.00"/>
    <numFmt numFmtId="165" formatCode="#,##0.00_ "/>
    <numFmt numFmtId="166" formatCode="[$$-409]#,##0.00_);[Red]\([$$-409]#,##0.00\)"/>
    <numFmt numFmtId="167" formatCode="0.000_);[Red]\(0.000\)"/>
    <numFmt numFmtId="168" formatCode="[$$-475]#,##0.00"/>
    <numFmt numFmtId="169" formatCode="_ * #,##0.00_ ;_ * \-#,##0.00_ ;_ * &quot;-&quot;??_ ;_ @_ "/>
    <numFmt numFmtId="170" formatCode="\$#,##0.000_);[Red]\(\$#,##0.000\)"/>
    <numFmt numFmtId="171" formatCode="[$-409]d&quot;-&quot;mmm&quot;-&quot;yy;@"/>
    <numFmt numFmtId="172" formatCode="#,##0_ "/>
    <numFmt numFmtId="173" formatCode="[$-409]d\-mmm;@"/>
    <numFmt numFmtId="174" formatCode="#,##0.000"/>
    <numFmt numFmtId="175" formatCode="#,##0.0000"/>
    <numFmt numFmtId="176" formatCode="&quot;$&quot;#,##0.000"/>
    <numFmt numFmtId="177" formatCode="0.000"/>
    <numFmt numFmtId="178" formatCode="\$#,##0_);[Red]\(\$#,##0\)"/>
    <numFmt numFmtId="179" formatCode="_([$Rp-421]* #,##0_);_([$Rp-421]* \(#,##0\);_([$Rp-421]* &quot;-&quot;_);_(@_)"/>
    <numFmt numFmtId="180" formatCode="_([$$-409]* #,##0.0000_);_([$$-409]* \(#,##0.0000\);_([$$-409]* &quot;-&quot;??_);_(@_)"/>
    <numFmt numFmtId="181" formatCode="_([$$-409]* #,##0.000_);_([$$-409]* \(#,##0.000\);_([$$-409]* &quot;-&quot;??_);_(@_)"/>
    <numFmt numFmtId="182" formatCode="_([$$-409]* #,##0.000_);_([$$-409]* \(#,##0.000\);_([$$-409]* &quot;-&quot;???_);_(@_)"/>
    <numFmt numFmtId="183" formatCode="[$$-409]#,##0.000"/>
  </numFmts>
  <fonts count="9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宋体"/>
      <charset val="134"/>
    </font>
    <font>
      <sz val="6"/>
      <name val="Malgun Gothic"/>
      <family val="2"/>
    </font>
    <font>
      <sz val="12"/>
      <name val="Malgun Gothic"/>
      <family val="2"/>
    </font>
    <font>
      <b/>
      <u/>
      <sz val="12"/>
      <name val="Malgun Gothic"/>
      <family val="2"/>
    </font>
    <font>
      <sz val="8"/>
      <name val="Malgun Gothic"/>
      <family val="2"/>
    </font>
    <font>
      <b/>
      <sz val="9"/>
      <name val="Malgun Gothic"/>
      <family val="2"/>
    </font>
    <font>
      <b/>
      <sz val="12"/>
      <name val="Arial Narrow"/>
      <family val="2"/>
    </font>
    <font>
      <sz val="12"/>
      <name val="Arial Narrow"/>
      <family val="2"/>
    </font>
    <font>
      <i/>
      <u/>
      <sz val="12"/>
      <name val="Arial Narrow"/>
      <family val="2"/>
    </font>
    <font>
      <b/>
      <i/>
      <u/>
      <sz val="12"/>
      <name val="Arial Narrow"/>
      <family val="2"/>
    </font>
    <font>
      <b/>
      <i/>
      <u/>
      <sz val="12"/>
      <color indexed="10"/>
      <name val="Arial Narrow"/>
      <family val="2"/>
    </font>
    <font>
      <b/>
      <i/>
      <u/>
      <sz val="10"/>
      <name val="Malgun Gothic"/>
      <family val="2"/>
    </font>
    <font>
      <b/>
      <sz val="8"/>
      <name val="Malgun Gothic"/>
      <family val="2"/>
    </font>
    <font>
      <b/>
      <sz val="10"/>
      <color rgb="FFFF0000"/>
      <name val="Malgun Gothic"/>
      <family val="2"/>
    </font>
    <font>
      <i/>
      <sz val="12"/>
      <color rgb="FF00B050"/>
      <name val="Arial Narrow"/>
      <family val="2"/>
    </font>
    <font>
      <sz val="12"/>
      <color theme="4"/>
      <name val="Arial Narrow"/>
      <family val="2"/>
    </font>
    <font>
      <i/>
      <sz val="12"/>
      <name val="Arial Narrow"/>
      <family val="2"/>
    </font>
    <font>
      <b/>
      <sz val="12"/>
      <color theme="0"/>
      <name val="Arial Narrow"/>
      <family val="2"/>
    </font>
    <font>
      <sz val="12"/>
      <color theme="0"/>
      <name val="Arial Narrow"/>
      <family val="2"/>
    </font>
    <font>
      <i/>
      <sz val="12"/>
      <color theme="4"/>
      <name val="Arial Narrow"/>
      <family val="2"/>
    </font>
    <font>
      <i/>
      <sz val="12"/>
      <color theme="4" tint="-0.249977111117893"/>
      <name val="Arial Narrow"/>
      <family val="2"/>
    </font>
    <font>
      <i/>
      <sz val="12"/>
      <color rgb="FFFF0000"/>
      <name val="Arial Narrow"/>
      <family val="2"/>
    </font>
    <font>
      <b/>
      <sz val="12"/>
      <color indexed="9"/>
      <name val="Arial Narrow"/>
      <family val="2"/>
    </font>
    <font>
      <b/>
      <sz val="12"/>
      <color theme="4" tint="-0.249977111117893"/>
      <name val="Arial Narrow"/>
      <family val="2"/>
    </font>
    <font>
      <sz val="9"/>
      <name val="Arial"/>
      <family val="2"/>
    </font>
    <font>
      <b/>
      <sz val="9"/>
      <name val="Arial"/>
      <family val="2"/>
    </font>
    <font>
      <sz val="12"/>
      <color theme="4" tint="-0.249977111117893"/>
      <name val="Arial Narrow"/>
      <family val="2"/>
    </font>
    <font>
      <sz val="12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algun Gothic"/>
      <family val="2"/>
    </font>
    <font>
      <sz val="12"/>
      <name val="宋体"/>
    </font>
    <font>
      <b/>
      <i/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i/>
      <sz val="9"/>
      <name val="Arial"/>
      <family val="2"/>
    </font>
    <font>
      <i/>
      <sz val="9"/>
      <color rgb="FFFF0000"/>
      <name val="Arial"/>
      <family val="2"/>
    </font>
    <font>
      <sz val="10"/>
      <name val="Tahoma"/>
      <family val="2"/>
    </font>
    <font>
      <sz val="10"/>
      <color theme="1"/>
      <name val="Tahoma"/>
      <family val="2"/>
    </font>
    <font>
      <sz val="11"/>
      <color theme="1"/>
      <name val="Calibri"/>
      <family val="2"/>
      <charset val="1"/>
      <scheme val="minor"/>
    </font>
    <font>
      <i/>
      <sz val="8"/>
      <color rgb="FF00B050"/>
      <name val="Arial"/>
      <family val="2"/>
    </font>
    <font>
      <b/>
      <sz val="10"/>
      <name val="Arial"/>
      <family val="2"/>
    </font>
    <font>
      <b/>
      <i/>
      <sz val="8"/>
      <color rgb="FFFF0000"/>
      <name val="Arial"/>
      <family val="2"/>
    </font>
    <font>
      <i/>
      <sz val="6"/>
      <color rgb="FFFF0000"/>
      <name val="Arial"/>
      <family val="2"/>
    </font>
    <font>
      <i/>
      <sz val="8"/>
      <color rgb="FFFF0000"/>
      <name val="Arial"/>
      <family val="2"/>
    </font>
    <font>
      <i/>
      <sz val="6"/>
      <name val="Arial"/>
      <family val="2"/>
    </font>
    <font>
      <i/>
      <sz val="9"/>
      <name val="Arial"/>
      <family val="2"/>
    </font>
    <font>
      <b/>
      <sz val="9"/>
      <color theme="0"/>
      <name val="Arial"/>
      <family val="2"/>
    </font>
    <font>
      <sz val="12"/>
      <color theme="0"/>
      <name val="Arial"/>
      <family val="2"/>
    </font>
    <font>
      <b/>
      <i/>
      <sz val="10"/>
      <color rgb="FFFF0000"/>
      <name val="Arial"/>
      <family val="2"/>
    </font>
    <font>
      <i/>
      <sz val="11"/>
      <color rgb="FFFF0000"/>
      <name val="Arial"/>
      <family val="2"/>
    </font>
    <font>
      <sz val="8"/>
      <color rgb="FFFF0000"/>
      <name val="Malgun Gothic"/>
      <family val="2"/>
    </font>
    <font>
      <b/>
      <sz val="12"/>
      <color theme="1"/>
      <name val="Arial Narrow"/>
      <family val="2"/>
    </font>
    <font>
      <b/>
      <i/>
      <sz val="8"/>
      <color theme="1"/>
      <name val="Arial"/>
      <family val="2"/>
    </font>
    <font>
      <b/>
      <sz val="10"/>
      <color theme="1"/>
      <name val="Tahoma"/>
      <family val="2"/>
    </font>
    <font>
      <b/>
      <i/>
      <sz val="12"/>
      <color theme="1"/>
      <name val="Arial Narrow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0"/>
      <name val="Arial"/>
      <family val="2"/>
    </font>
    <font>
      <sz val="11"/>
      <color rgb="FFFF0000"/>
      <name val="Arial Narrow"/>
      <family val="2"/>
    </font>
    <font>
      <sz val="11"/>
      <color rgb="FFFF0000"/>
      <name val="Arial"/>
      <family val="2"/>
    </font>
    <font>
      <sz val="10"/>
      <color rgb="FFFF0000"/>
      <name val="Calibri"/>
      <family val="2"/>
      <scheme val="minor"/>
    </font>
    <font>
      <sz val="11"/>
      <color rgb="FFFF0000"/>
      <name val="Tahoma"/>
      <family val="2"/>
    </font>
    <font>
      <sz val="11"/>
      <color theme="4" tint="-0.249977111117893"/>
      <name val="Arial Narrow"/>
      <family val="2"/>
    </font>
    <font>
      <sz val="11"/>
      <color theme="4"/>
      <name val="Arial Narrow"/>
      <family val="2"/>
    </font>
    <font>
      <sz val="11"/>
      <name val="Arial"/>
      <family val="2"/>
    </font>
    <font>
      <i/>
      <sz val="11"/>
      <name val="Arial"/>
      <family val="2"/>
    </font>
    <font>
      <b/>
      <i/>
      <sz val="11"/>
      <color rgb="FFFF000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color theme="1"/>
      <name val="Tahoma"/>
      <family val="2"/>
    </font>
    <font>
      <sz val="12"/>
      <color rgb="FFFF0000"/>
      <name val="Arial Narrow"/>
      <family val="2"/>
    </font>
    <font>
      <sz val="11"/>
      <name val="Tahoma"/>
      <family val="2"/>
    </font>
    <font>
      <b/>
      <i/>
      <sz val="12"/>
      <color theme="1"/>
      <name val="Arial"/>
      <family val="2"/>
    </font>
    <font>
      <b/>
      <sz val="12"/>
      <color theme="1"/>
      <name val="Tahoma"/>
      <family val="2"/>
    </font>
    <font>
      <i/>
      <sz val="12"/>
      <color rgb="FFFF0000"/>
      <name val="Arial"/>
      <family val="2"/>
    </font>
    <font>
      <b/>
      <sz val="12"/>
      <name val="Arial"/>
      <family val="2"/>
    </font>
    <font>
      <sz val="12"/>
      <name val="Tahoma"/>
      <family val="2"/>
    </font>
    <font>
      <sz val="12"/>
      <color rgb="FFFF0000"/>
      <name val="Tahoma"/>
      <family val="2"/>
    </font>
    <font>
      <sz val="12"/>
      <color rgb="FFFF0000"/>
      <name val="Arial"/>
      <family val="2"/>
    </font>
    <font>
      <sz val="11"/>
      <color theme="4"/>
      <name val="Tahoma"/>
      <family val="2"/>
    </font>
    <font>
      <sz val="12"/>
      <color theme="4"/>
      <name val="Tahoma"/>
      <family val="2"/>
    </font>
    <font>
      <i/>
      <sz val="9"/>
      <color rgb="FFFF0000"/>
      <name val="Malgun Gothic"/>
      <family val="2"/>
    </font>
    <font>
      <sz val="11"/>
      <color rgb="FFFF0000"/>
      <name val="Malgun Gothic"/>
      <family val="2"/>
    </font>
    <font>
      <sz val="12"/>
      <color rgb="FFFF0000"/>
      <name val="Malgun Gothic"/>
      <family val="2"/>
    </font>
    <font>
      <b/>
      <sz val="11"/>
      <color rgb="FFFF0000"/>
      <name val="Malgun Gothic"/>
      <family val="2"/>
    </font>
    <font>
      <i/>
      <sz val="12"/>
      <color rgb="FFFF0000"/>
      <name val="Malgun Gothic"/>
      <family val="2"/>
    </font>
    <font>
      <b/>
      <sz val="12"/>
      <color theme="0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Tahoma"/>
      <family val="2"/>
    </font>
    <font>
      <b/>
      <sz val="14"/>
      <name val="Malgun Gothic"/>
      <family val="2"/>
    </font>
    <font>
      <sz val="11"/>
      <name val="Malgun Gothic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</fills>
  <borders count="4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hair">
        <color indexed="10"/>
      </left>
      <right/>
      <top style="hair">
        <color indexed="10"/>
      </top>
      <bottom/>
      <diagonal/>
    </border>
    <border>
      <left/>
      <right/>
      <top style="hair">
        <color indexed="10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4" fillId="0" borderId="0"/>
    <xf numFmtId="9" fontId="42" fillId="0" borderId="0" applyFont="0" applyFill="0" applyBorder="0" applyAlignment="0" applyProtection="0"/>
  </cellStyleXfs>
  <cellXfs count="689">
    <xf numFmtId="0" fontId="0" fillId="0" borderId="0" xfId="0"/>
    <xf numFmtId="0" fontId="3" fillId="0" borderId="6" xfId="2" applyFont="1" applyBorder="1" applyAlignment="1">
      <alignment horizontal="left" vertical="center"/>
    </xf>
    <xf numFmtId="0" fontId="4" fillId="0" borderId="7" xfId="2" applyFont="1" applyBorder="1" applyAlignment="1">
      <alignment vertical="center"/>
    </xf>
    <xf numFmtId="0" fontId="4" fillId="0" borderId="7" xfId="2" applyFont="1" applyBorder="1" applyAlignment="1">
      <alignment horizontal="center" vertical="center"/>
    </xf>
    <xf numFmtId="165" fontId="4" fillId="0" borderId="7" xfId="2" applyNumberFormat="1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167" fontId="4" fillId="0" borderId="7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vertical="center"/>
    </xf>
    <xf numFmtId="0" fontId="3" fillId="0" borderId="4" xfId="2" applyFont="1" applyBorder="1" applyAlignment="1">
      <alignment horizontal="left" vertical="center"/>
    </xf>
    <xf numFmtId="0" fontId="6" fillId="0" borderId="0" xfId="2" applyFont="1" applyBorder="1" applyAlignment="1">
      <alignment vertical="center"/>
    </xf>
    <xf numFmtId="0" fontId="6" fillId="0" borderId="0" xfId="2" applyFont="1" applyBorder="1" applyAlignment="1">
      <alignment horizontal="center" vertical="center"/>
    </xf>
    <xf numFmtId="0" fontId="7" fillId="0" borderId="0" xfId="2" applyFont="1" applyBorder="1" applyAlignment="1">
      <alignment vertical="center"/>
    </xf>
    <xf numFmtId="168" fontId="4" fillId="0" borderId="5" xfId="2" applyNumberFormat="1" applyFont="1" applyBorder="1" applyAlignment="1">
      <alignment vertical="center"/>
    </xf>
    <xf numFmtId="167" fontId="9" fillId="0" borderId="0" xfId="2" applyNumberFormat="1" applyFont="1" applyBorder="1" applyAlignment="1">
      <alignment horizontal="center" vertical="center"/>
    </xf>
    <xf numFmtId="168" fontId="9" fillId="0" borderId="5" xfId="2" applyNumberFormat="1" applyFont="1" applyBorder="1" applyAlignment="1">
      <alignment vertical="center"/>
    </xf>
    <xf numFmtId="166" fontId="10" fillId="0" borderId="0" xfId="2" applyNumberFormat="1" applyFont="1" applyBorder="1" applyAlignment="1">
      <alignment horizontal="center" vertical="center"/>
    </xf>
    <xf numFmtId="167" fontId="10" fillId="0" borderId="0" xfId="2" applyNumberFormat="1" applyFont="1" applyBorder="1" applyAlignment="1">
      <alignment horizontal="center" vertical="center"/>
    </xf>
    <xf numFmtId="170" fontId="11" fillId="0" borderId="0" xfId="2" applyNumberFormat="1" applyFont="1" applyFill="1" applyBorder="1" applyAlignment="1">
      <alignment horizontal="left" vertical="center"/>
    </xf>
    <xf numFmtId="165" fontId="11" fillId="0" borderId="0" xfId="2" applyNumberFormat="1" applyFont="1" applyFill="1" applyBorder="1" applyAlignment="1">
      <alignment horizontal="left" vertical="center"/>
    </xf>
    <xf numFmtId="171" fontId="11" fillId="0" borderId="0" xfId="2" applyNumberFormat="1" applyFont="1" applyFill="1" applyBorder="1" applyAlignment="1">
      <alignment horizontal="left" vertical="center"/>
    </xf>
    <xf numFmtId="165" fontId="12" fillId="0" borderId="0" xfId="2" applyNumberFormat="1" applyFont="1" applyFill="1" applyBorder="1" applyAlignment="1">
      <alignment vertical="center" wrapText="1"/>
    </xf>
    <xf numFmtId="170" fontId="11" fillId="0" borderId="0" xfId="0" applyNumberFormat="1" applyFont="1" applyFill="1" applyBorder="1" applyAlignment="1">
      <alignment horizontal="left" vertical="center"/>
    </xf>
    <xf numFmtId="0" fontId="14" fillId="0" borderId="0" xfId="2" applyFont="1" applyBorder="1" applyAlignment="1">
      <alignment vertical="center"/>
    </xf>
    <xf numFmtId="0" fontId="14" fillId="0" borderId="0" xfId="2" applyFont="1" applyBorder="1" applyAlignment="1">
      <alignment horizontal="center" vertical="center"/>
    </xf>
    <xf numFmtId="165" fontId="15" fillId="0" borderId="0" xfId="2" applyNumberFormat="1" applyFont="1" applyBorder="1" applyAlignment="1">
      <alignment horizontal="right" vertical="center"/>
    </xf>
    <xf numFmtId="165" fontId="14" fillId="0" borderId="0" xfId="2" applyNumberFormat="1" applyFont="1" applyBorder="1" applyAlignment="1">
      <alignment horizontal="right" vertical="center"/>
    </xf>
    <xf numFmtId="4" fontId="17" fillId="0" borderId="13" xfId="2" applyNumberFormat="1" applyFont="1" applyFill="1" applyBorder="1" applyAlignment="1">
      <alignment horizontal="center" vertical="center"/>
    </xf>
    <xf numFmtId="0" fontId="8" fillId="2" borderId="22" xfId="2" applyFont="1" applyFill="1" applyBorder="1" applyAlignment="1">
      <alignment vertical="center"/>
    </xf>
    <xf numFmtId="0" fontId="9" fillId="2" borderId="22" xfId="2" applyFont="1" applyFill="1" applyBorder="1" applyAlignment="1">
      <alignment horizontal="center" vertical="center"/>
    </xf>
    <xf numFmtId="0" fontId="19" fillId="4" borderId="22" xfId="2" applyFont="1" applyFill="1" applyBorder="1" applyAlignment="1">
      <alignment horizontal="left" vertical="center"/>
    </xf>
    <xf numFmtId="165" fontId="20" fillId="4" borderId="22" xfId="2" applyNumberFormat="1" applyFont="1" applyFill="1" applyBorder="1" applyAlignment="1">
      <alignment horizontal="center" vertical="center"/>
    </xf>
    <xf numFmtId="0" fontId="20" fillId="4" borderId="22" xfId="2" applyFont="1" applyFill="1" applyBorder="1" applyAlignment="1">
      <alignment vertical="center"/>
    </xf>
    <xf numFmtId="0" fontId="8" fillId="0" borderId="4" xfId="2" applyFont="1" applyBorder="1" applyAlignment="1">
      <alignment horizontal="left" vertical="center"/>
    </xf>
    <xf numFmtId="0" fontId="8" fillId="0" borderId="0" xfId="2" applyFont="1" applyFill="1" applyBorder="1" applyAlignment="1">
      <alignment vertical="center"/>
    </xf>
    <xf numFmtId="9" fontId="16" fillId="0" borderId="0" xfId="1" applyFont="1" applyBorder="1" applyAlignment="1">
      <alignment horizontal="center" vertical="center"/>
    </xf>
    <xf numFmtId="0" fontId="8" fillId="0" borderId="0" xfId="2" applyFont="1" applyFill="1" applyBorder="1" applyAlignment="1">
      <alignment horizontal="left" vertical="center"/>
    </xf>
    <xf numFmtId="168" fontId="8" fillId="0" borderId="5" xfId="2" applyNumberFormat="1" applyFont="1" applyFill="1" applyBorder="1" applyAlignment="1">
      <alignment horizontal="center" vertical="center"/>
    </xf>
    <xf numFmtId="0" fontId="22" fillId="0" borderId="11" xfId="2" applyFont="1" applyFill="1" applyBorder="1" applyAlignment="1">
      <alignment vertical="center"/>
    </xf>
    <xf numFmtId="0" fontId="22" fillId="0" borderId="12" xfId="2" applyFont="1" applyFill="1" applyBorder="1" applyAlignment="1">
      <alignment vertical="center"/>
    </xf>
    <xf numFmtId="170" fontId="22" fillId="0" borderId="13" xfId="2" applyNumberFormat="1" applyFont="1" applyFill="1" applyBorder="1" applyAlignment="1">
      <alignment horizontal="center" vertical="center"/>
    </xf>
    <xf numFmtId="1" fontId="22" fillId="0" borderId="13" xfId="2" applyNumberFormat="1" applyFont="1" applyFill="1" applyBorder="1" applyAlignment="1">
      <alignment horizontal="center" vertical="center"/>
    </xf>
    <xf numFmtId="0" fontId="18" fillId="0" borderId="15" xfId="2" applyFont="1" applyBorder="1" applyAlignment="1">
      <alignment horizontal="left" vertical="center"/>
    </xf>
    <xf numFmtId="170" fontId="23" fillId="0" borderId="13" xfId="2" applyNumberFormat="1" applyFont="1" applyFill="1" applyBorder="1" applyAlignment="1">
      <alignment horizontal="center" vertical="center"/>
    </xf>
    <xf numFmtId="168" fontId="19" fillId="4" borderId="23" xfId="2" applyNumberFormat="1" applyFont="1" applyFill="1" applyBorder="1" applyAlignment="1">
      <alignment horizontal="center" vertical="center"/>
    </xf>
    <xf numFmtId="0" fontId="8" fillId="5" borderId="11" xfId="2" applyFont="1" applyFill="1" applyBorder="1" applyAlignment="1">
      <alignment horizontal="left" vertical="center"/>
    </xf>
    <xf numFmtId="0" fontId="8" fillId="5" borderId="12" xfId="2" applyFont="1" applyFill="1" applyBorder="1" applyAlignment="1">
      <alignment horizontal="left" vertical="center"/>
    </xf>
    <xf numFmtId="165" fontId="8" fillId="5" borderId="13" xfId="2" applyNumberFormat="1" applyFont="1" applyFill="1" applyBorder="1" applyAlignment="1">
      <alignment horizontal="center" vertical="center"/>
    </xf>
    <xf numFmtId="166" fontId="8" fillId="5" borderId="13" xfId="2" applyNumberFormat="1" applyFont="1" applyFill="1" applyBorder="1" applyAlignment="1">
      <alignment horizontal="center" vertical="center"/>
    </xf>
    <xf numFmtId="0" fontId="22" fillId="0" borderId="10" xfId="2" applyFont="1" applyFill="1" applyBorder="1" applyAlignment="1">
      <alignment horizontal="center" vertical="center"/>
    </xf>
    <xf numFmtId="1" fontId="22" fillId="0" borderId="20" xfId="2" applyNumberFormat="1" applyFont="1" applyFill="1" applyBorder="1" applyAlignment="1">
      <alignment horizontal="center" vertical="center"/>
    </xf>
    <xf numFmtId="0" fontId="19" fillId="4" borderId="23" xfId="2" applyFont="1" applyFill="1" applyBorder="1" applyAlignment="1">
      <alignment horizontal="left" vertical="center"/>
    </xf>
    <xf numFmtId="170" fontId="20" fillId="4" borderId="22" xfId="2" applyNumberFormat="1" applyFont="1" applyFill="1" applyBorder="1" applyAlignment="1">
      <alignment vertical="center"/>
    </xf>
    <xf numFmtId="0" fontId="19" fillId="4" borderId="23" xfId="2" applyFont="1" applyFill="1" applyBorder="1" applyAlignment="1">
      <alignment horizontal="right" vertical="center"/>
    </xf>
    <xf numFmtId="177" fontId="19" fillId="4" borderId="23" xfId="2" applyNumberFormat="1" applyFont="1" applyFill="1" applyBorder="1" applyAlignment="1">
      <alignment horizontal="center" vertical="center"/>
    </xf>
    <xf numFmtId="168" fontId="8" fillId="5" borderId="14" xfId="2" applyNumberFormat="1" applyFont="1" applyFill="1" applyBorder="1" applyAlignment="1">
      <alignment horizontal="center" vertical="center"/>
    </xf>
    <xf numFmtId="0" fontId="23" fillId="0" borderId="15" xfId="2" applyFont="1" applyBorder="1" applyAlignment="1">
      <alignment horizontal="left" vertical="center"/>
    </xf>
    <xf numFmtId="0" fontId="23" fillId="0" borderId="13" xfId="2" applyNumberFormat="1" applyFont="1" applyBorder="1" applyAlignment="1">
      <alignment horizontal="center" vertical="center"/>
    </xf>
    <xf numFmtId="0" fontId="23" fillId="0" borderId="9" xfId="2" applyFont="1" applyBorder="1" applyAlignment="1">
      <alignment vertical="center"/>
    </xf>
    <xf numFmtId="0" fontId="9" fillId="0" borderId="2" xfId="2" applyFont="1" applyFill="1" applyBorder="1" applyAlignment="1">
      <alignment horizontal="center" vertical="center"/>
    </xf>
    <xf numFmtId="165" fontId="9" fillId="0" borderId="2" xfId="2" applyNumberFormat="1" applyFont="1" applyFill="1" applyBorder="1" applyAlignment="1">
      <alignment horizontal="center" vertical="center"/>
    </xf>
    <xf numFmtId="0" fontId="22" fillId="0" borderId="15" xfId="2" applyFont="1" applyBorder="1" applyAlignment="1">
      <alignment horizontal="left" vertical="center"/>
    </xf>
    <xf numFmtId="0" fontId="22" fillId="0" borderId="9" xfId="2" applyFont="1" applyBorder="1" applyAlignment="1">
      <alignment vertical="center" wrapText="1"/>
    </xf>
    <xf numFmtId="0" fontId="22" fillId="0" borderId="13" xfId="2" applyNumberFormat="1" applyFont="1" applyBorder="1" applyAlignment="1">
      <alignment horizontal="center" vertical="center"/>
    </xf>
    <xf numFmtId="0" fontId="22" fillId="0" borderId="9" xfId="2" applyFont="1" applyBorder="1" applyAlignment="1">
      <alignment vertical="center"/>
    </xf>
    <xf numFmtId="0" fontId="18" fillId="0" borderId="11" xfId="2" applyFont="1" applyBorder="1" applyAlignment="1">
      <alignment vertical="center"/>
    </xf>
    <xf numFmtId="0" fontId="18" fillId="0" borderId="9" xfId="2" applyFont="1" applyBorder="1" applyAlignment="1">
      <alignment vertical="center"/>
    </xf>
    <xf numFmtId="0" fontId="18" fillId="0" borderId="16" xfId="2" applyFont="1" applyBorder="1" applyAlignment="1">
      <alignment horizontal="left" vertical="center"/>
    </xf>
    <xf numFmtId="0" fontId="18" fillId="0" borderId="25" xfId="2" applyFont="1" applyBorder="1" applyAlignment="1">
      <alignment vertical="center"/>
    </xf>
    <xf numFmtId="0" fontId="18" fillId="0" borderId="20" xfId="2" applyNumberFormat="1" applyFont="1" applyBorder="1" applyAlignment="1">
      <alignment horizontal="center" vertical="center"/>
    </xf>
    <xf numFmtId="165" fontId="8" fillId="0" borderId="0" xfId="2" applyNumberFormat="1" applyFont="1" applyFill="1" applyBorder="1" applyAlignment="1">
      <alignment horizontal="center" vertical="center"/>
    </xf>
    <xf numFmtId="166" fontId="8" fillId="0" borderId="0" xfId="2" applyNumberFormat="1" applyFont="1" applyFill="1" applyBorder="1" applyAlignment="1">
      <alignment horizontal="center" vertical="center"/>
    </xf>
    <xf numFmtId="0" fontId="9" fillId="0" borderId="0" xfId="2" applyFont="1" applyBorder="1" applyAlignment="1">
      <alignment vertical="center"/>
    </xf>
    <xf numFmtId="0" fontId="9" fillId="0" borderId="0" xfId="2" applyFont="1" applyBorder="1" applyAlignment="1">
      <alignment horizontal="center" vertical="center"/>
    </xf>
    <xf numFmtId="165" fontId="9" fillId="0" borderId="0" xfId="2" applyNumberFormat="1" applyFont="1" applyBorder="1" applyAlignment="1">
      <alignment horizontal="center" vertical="center"/>
    </xf>
    <xf numFmtId="166" fontId="9" fillId="0" borderId="0" xfId="2" applyNumberFormat="1" applyFont="1" applyBorder="1" applyAlignment="1">
      <alignment horizontal="center" vertical="center"/>
    </xf>
    <xf numFmtId="168" fontId="9" fillId="0" borderId="5" xfId="2" applyNumberFormat="1" applyFont="1" applyBorder="1" applyAlignment="1">
      <alignment horizontal="center" vertical="center"/>
    </xf>
    <xf numFmtId="0" fontId="25" fillId="6" borderId="21" xfId="2" applyFont="1" applyFill="1" applyBorder="1" applyAlignment="1">
      <alignment horizontal="left" vertical="center"/>
    </xf>
    <xf numFmtId="0" fontId="25" fillId="6" borderId="22" xfId="2" applyFont="1" applyFill="1" applyBorder="1" applyAlignment="1">
      <alignment vertical="center"/>
    </xf>
    <xf numFmtId="165" fontId="25" fillId="6" borderId="22" xfId="2" applyNumberFormat="1" applyFont="1" applyFill="1" applyBorder="1" applyAlignment="1">
      <alignment horizontal="center" vertical="center"/>
    </xf>
    <xf numFmtId="166" fontId="25" fillId="6" borderId="22" xfId="2" applyNumberFormat="1" applyFont="1" applyFill="1" applyBorder="1" applyAlignment="1">
      <alignment horizontal="center" vertical="center"/>
    </xf>
    <xf numFmtId="168" fontId="25" fillId="6" borderId="23" xfId="2" applyNumberFormat="1" applyFont="1" applyFill="1" applyBorder="1" applyAlignment="1">
      <alignment horizontal="center" vertical="center"/>
    </xf>
    <xf numFmtId="164" fontId="25" fillId="7" borderId="21" xfId="2" applyNumberFormat="1" applyFont="1" applyFill="1" applyBorder="1" applyAlignment="1">
      <alignment horizontal="left" vertical="center"/>
    </xf>
    <xf numFmtId="0" fontId="28" fillId="7" borderId="22" xfId="2" applyFont="1" applyFill="1" applyBorder="1" applyAlignment="1">
      <alignment vertical="center"/>
    </xf>
    <xf numFmtId="165" fontId="25" fillId="7" borderId="22" xfId="2" applyNumberFormat="1" applyFont="1" applyFill="1" applyBorder="1" applyAlignment="1">
      <alignment horizontal="center" vertical="center"/>
    </xf>
    <xf numFmtId="10" fontId="25" fillId="7" borderId="22" xfId="2" applyNumberFormat="1" applyFont="1" applyFill="1" applyBorder="1" applyAlignment="1">
      <alignment horizontal="center" vertical="center"/>
    </xf>
    <xf numFmtId="168" fontId="25" fillId="7" borderId="23" xfId="2" applyNumberFormat="1" applyFont="1" applyFill="1" applyBorder="1" applyAlignment="1">
      <alignment horizontal="center" vertical="center"/>
    </xf>
    <xf numFmtId="0" fontId="29" fillId="0" borderId="0" xfId="2" applyFont="1" applyBorder="1" applyAlignment="1">
      <alignment vertical="center"/>
    </xf>
    <xf numFmtId="165" fontId="27" fillId="0" borderId="0" xfId="2" applyNumberFormat="1" applyFont="1" applyFill="1" applyBorder="1" applyAlignment="1">
      <alignment horizontal="center" vertical="center"/>
    </xf>
    <xf numFmtId="166" fontId="27" fillId="0" borderId="0" xfId="2" applyNumberFormat="1" applyFont="1" applyFill="1" applyBorder="1" applyAlignment="1">
      <alignment horizontal="center" vertical="center"/>
    </xf>
    <xf numFmtId="168" fontId="27" fillId="0" borderId="5" xfId="2" applyNumberFormat="1" applyFont="1" applyFill="1" applyBorder="1" applyAlignment="1">
      <alignment horizontal="center" vertical="center"/>
    </xf>
    <xf numFmtId="164" fontId="19" fillId="8" borderId="21" xfId="2" applyNumberFormat="1" applyFont="1" applyFill="1" applyBorder="1" applyAlignment="1">
      <alignment horizontal="left" vertical="center"/>
    </xf>
    <xf numFmtId="0" fontId="20" fillId="8" borderId="22" xfId="2" applyFont="1" applyFill="1" applyBorder="1" applyAlignment="1">
      <alignment vertical="center"/>
    </xf>
    <xf numFmtId="165" fontId="19" fillId="8" borderId="22" xfId="2" applyNumberFormat="1" applyFont="1" applyFill="1" applyBorder="1" applyAlignment="1">
      <alignment horizontal="center" vertical="center"/>
    </xf>
    <xf numFmtId="168" fontId="19" fillId="8" borderId="23" xfId="2" applyNumberFormat="1" applyFont="1" applyFill="1" applyBorder="1" applyAlignment="1">
      <alignment horizontal="center" vertical="center"/>
    </xf>
    <xf numFmtId="164" fontId="19" fillId="9" borderId="21" xfId="2" applyNumberFormat="1" applyFont="1" applyFill="1" applyBorder="1" applyAlignment="1">
      <alignment horizontal="left" vertical="center"/>
    </xf>
    <xf numFmtId="0" fontId="20" fillId="9" borderId="22" xfId="2" applyFont="1" applyFill="1" applyBorder="1" applyAlignment="1">
      <alignment vertical="center"/>
    </xf>
    <xf numFmtId="165" fontId="19" fillId="9" borderId="22" xfId="2" applyNumberFormat="1" applyFont="1" applyFill="1" applyBorder="1" applyAlignment="1">
      <alignment horizontal="center" vertical="center"/>
    </xf>
    <xf numFmtId="10" fontId="19" fillId="9" borderId="22" xfId="2" applyNumberFormat="1" applyFont="1" applyFill="1" applyBorder="1" applyAlignment="1">
      <alignment horizontal="center" vertical="center"/>
    </xf>
    <xf numFmtId="164" fontId="25" fillId="10" borderId="21" xfId="2" applyNumberFormat="1" applyFont="1" applyFill="1" applyBorder="1" applyAlignment="1">
      <alignment horizontal="left" vertical="center"/>
    </xf>
    <xf numFmtId="0" fontId="28" fillId="10" borderId="22" xfId="2" applyFont="1" applyFill="1" applyBorder="1" applyAlignment="1">
      <alignment vertical="center"/>
    </xf>
    <xf numFmtId="165" fontId="25" fillId="10" borderId="22" xfId="2" applyNumberFormat="1" applyFont="1" applyFill="1" applyBorder="1" applyAlignment="1">
      <alignment horizontal="center" vertical="center"/>
    </xf>
    <xf numFmtId="10" fontId="25" fillId="10" borderId="22" xfId="2" applyNumberFormat="1" applyFont="1" applyFill="1" applyBorder="1" applyAlignment="1">
      <alignment horizontal="center" vertical="center"/>
    </xf>
    <xf numFmtId="168" fontId="25" fillId="10" borderId="23" xfId="2" applyNumberFormat="1" applyFont="1" applyFill="1" applyBorder="1" applyAlignment="1">
      <alignment horizontal="center" vertical="center"/>
    </xf>
    <xf numFmtId="0" fontId="8" fillId="2" borderId="0" xfId="2" applyFont="1" applyFill="1" applyBorder="1" applyAlignment="1">
      <alignment vertical="center"/>
    </xf>
    <xf numFmtId="0" fontId="9" fillId="2" borderId="0" xfId="2" applyFont="1" applyFill="1" applyBorder="1" applyAlignment="1">
      <alignment horizontal="center" vertical="center"/>
    </xf>
    <xf numFmtId="0" fontId="19" fillId="4" borderId="0" xfId="2" applyFont="1" applyFill="1" applyBorder="1" applyAlignment="1">
      <alignment horizontal="left" vertical="center"/>
    </xf>
    <xf numFmtId="165" fontId="20" fillId="4" borderId="0" xfId="2" applyNumberFormat="1" applyFont="1" applyFill="1" applyBorder="1" applyAlignment="1">
      <alignment horizontal="center" vertical="center"/>
    </xf>
    <xf numFmtId="0" fontId="20" fillId="4" borderId="0" xfId="2" applyFont="1" applyFill="1" applyBorder="1" applyAlignment="1">
      <alignment vertical="center"/>
    </xf>
    <xf numFmtId="0" fontId="19" fillId="4" borderId="0" xfId="2" applyFont="1" applyFill="1" applyBorder="1" applyAlignment="1">
      <alignment horizontal="right" vertical="center"/>
    </xf>
    <xf numFmtId="168" fontId="19" fillId="4" borderId="5" xfId="2" applyNumberFormat="1" applyFont="1" applyFill="1" applyBorder="1" applyAlignment="1">
      <alignment horizontal="center" vertical="center"/>
    </xf>
    <xf numFmtId="0" fontId="22" fillId="0" borderId="24" xfId="2" applyFont="1" applyFill="1" applyBorder="1" applyAlignment="1">
      <alignment horizontal="left" vertical="center"/>
    </xf>
    <xf numFmtId="0" fontId="22" fillId="0" borderId="19" xfId="2" applyFont="1" applyFill="1" applyBorder="1" applyAlignment="1">
      <alignment horizontal="left" vertical="center"/>
    </xf>
    <xf numFmtId="0" fontId="17" fillId="0" borderId="24" xfId="2" applyFont="1" applyFill="1" applyBorder="1" applyAlignment="1">
      <alignment horizontal="left" vertical="center" wrapText="1"/>
    </xf>
    <xf numFmtId="0" fontId="17" fillId="0" borderId="19" xfId="2" applyFont="1" applyFill="1" applyBorder="1" applyAlignment="1">
      <alignment horizontal="left" vertical="center" wrapText="1"/>
    </xf>
    <xf numFmtId="0" fontId="17" fillId="0" borderId="20" xfId="2" applyNumberFormat="1" applyFont="1" applyFill="1" applyBorder="1" applyAlignment="1">
      <alignment horizontal="center" vertical="center"/>
    </xf>
    <xf numFmtId="174" fontId="17" fillId="0" borderId="20" xfId="2" applyNumberFormat="1" applyFont="1" applyFill="1" applyBorder="1" applyAlignment="1">
      <alignment horizontal="center" vertical="center"/>
    </xf>
    <xf numFmtId="0" fontId="23" fillId="0" borderId="9" xfId="2" applyFont="1" applyBorder="1" applyAlignment="1">
      <alignment vertical="center" wrapText="1"/>
    </xf>
    <xf numFmtId="0" fontId="0" fillId="0" borderId="13" xfId="0" applyFill="1" applyBorder="1"/>
    <xf numFmtId="164" fontId="0" fillId="0" borderId="13" xfId="0" applyNumberFormat="1" applyFill="1" applyBorder="1"/>
    <xf numFmtId="164" fontId="0" fillId="0" borderId="0" xfId="0" applyNumberFormat="1"/>
    <xf numFmtId="0" fontId="8" fillId="2" borderId="13" xfId="2" applyFont="1" applyFill="1" applyBorder="1" applyAlignment="1">
      <alignment horizontal="center" vertical="center" wrapText="1"/>
    </xf>
    <xf numFmtId="164" fontId="8" fillId="2" borderId="13" xfId="2" applyNumberFormat="1" applyFont="1" applyFill="1" applyBorder="1" applyAlignment="1">
      <alignment horizontal="center" vertical="center" wrapText="1"/>
    </xf>
    <xf numFmtId="0" fontId="32" fillId="3" borderId="13" xfId="0" applyFont="1" applyFill="1" applyBorder="1" applyAlignment="1">
      <alignment horizontal="center"/>
    </xf>
    <xf numFmtId="164" fontId="32" fillId="3" borderId="13" xfId="0" applyNumberFormat="1" applyFont="1" applyFill="1" applyBorder="1" applyAlignment="1">
      <alignment horizontal="center"/>
    </xf>
    <xf numFmtId="173" fontId="13" fillId="0" borderId="0" xfId="2" applyNumberFormat="1" applyFont="1" applyFill="1" applyBorder="1" applyAlignment="1">
      <alignment vertical="center" wrapText="1"/>
    </xf>
    <xf numFmtId="0" fontId="10" fillId="0" borderId="0" xfId="0" applyFont="1" applyFill="1" applyBorder="1" applyAlignment="1">
      <alignment vertical="center"/>
    </xf>
    <xf numFmtId="0" fontId="0" fillId="0" borderId="0" xfId="0"/>
    <xf numFmtId="0" fontId="10" fillId="0" borderId="0" xfId="2" applyFont="1" applyBorder="1" applyAlignment="1">
      <alignment vertical="center"/>
    </xf>
    <xf numFmtId="0" fontId="27" fillId="0" borderId="0" xfId="3" applyFont="1" applyBorder="1" applyAlignment="1">
      <alignment vertical="center"/>
    </xf>
    <xf numFmtId="169" fontId="35" fillId="0" borderId="8" xfId="3" applyNumberFormat="1" applyFont="1" applyFill="1" applyBorder="1" applyAlignment="1">
      <alignment vertical="center"/>
    </xf>
    <xf numFmtId="169" fontId="35" fillId="0" borderId="8" xfId="3" quotePrefix="1" applyNumberFormat="1" applyFont="1" applyFill="1" applyBorder="1" applyAlignment="1">
      <alignment vertical="center"/>
    </xf>
    <xf numFmtId="0" fontId="35" fillId="0" borderId="8" xfId="3" applyNumberFormat="1" applyFont="1" applyFill="1" applyBorder="1" applyAlignment="1">
      <alignment horizontal="left" vertical="center"/>
    </xf>
    <xf numFmtId="0" fontId="27" fillId="0" borderId="8" xfId="3" applyNumberFormat="1" applyFont="1" applyFill="1" applyBorder="1" applyAlignment="1">
      <alignment horizontal="left" vertical="center"/>
    </xf>
    <xf numFmtId="15" fontId="37" fillId="0" borderId="9" xfId="0" applyNumberFormat="1" applyFont="1" applyBorder="1" applyAlignment="1">
      <alignment horizontal="left" vertical="center"/>
    </xf>
    <xf numFmtId="172" fontId="38" fillId="0" borderId="8" xfId="3" applyNumberFormat="1" applyFont="1" applyBorder="1" applyAlignment="1">
      <alignment horizontal="left" vertical="center"/>
    </xf>
    <xf numFmtId="172" fontId="27" fillId="0" borderId="8" xfId="3" applyNumberFormat="1" applyFont="1" applyBorder="1" applyAlignment="1">
      <alignment horizontal="left" vertical="center"/>
    </xf>
    <xf numFmtId="0" fontId="27" fillId="0" borderId="0" xfId="3" applyFont="1" applyBorder="1" applyAlignment="1">
      <alignment horizontal="left" vertical="center"/>
    </xf>
    <xf numFmtId="0" fontId="39" fillId="0" borderId="15" xfId="3" applyFont="1" applyFill="1" applyBorder="1" applyAlignment="1">
      <alignment horizontal="left" vertical="center"/>
    </xf>
    <xf numFmtId="0" fontId="39" fillId="0" borderId="12" xfId="3" applyFont="1" applyFill="1" applyBorder="1" applyAlignment="1">
      <alignment vertical="center"/>
    </xf>
    <xf numFmtId="0" fontId="39" fillId="0" borderId="13" xfId="3" applyNumberFormat="1" applyFont="1" applyFill="1" applyBorder="1" applyAlignment="1">
      <alignment horizontal="center" vertical="center"/>
    </xf>
    <xf numFmtId="175" fontId="39" fillId="0" borderId="13" xfId="3" applyNumberFormat="1" applyFont="1" applyFill="1" applyBorder="1" applyAlignment="1">
      <alignment horizontal="center" vertical="center"/>
    </xf>
    <xf numFmtId="175" fontId="39" fillId="0" borderId="13" xfId="3" applyNumberFormat="1" applyFont="1" applyBorder="1" applyAlignment="1">
      <alignment horizontal="center" vertical="center"/>
    </xf>
    <xf numFmtId="168" fontId="39" fillId="0" borderId="14" xfId="3" applyNumberFormat="1" applyFont="1" applyFill="1" applyBorder="1" applyAlignment="1">
      <alignment horizontal="center" vertical="center"/>
    </xf>
    <xf numFmtId="0" fontId="40" fillId="0" borderId="13" xfId="0" applyFont="1" applyFill="1" applyBorder="1" applyAlignment="1">
      <alignment vertical="center"/>
    </xf>
    <xf numFmtId="0" fontId="40" fillId="0" borderId="13" xfId="0" applyNumberFormat="1" applyFont="1" applyFill="1" applyBorder="1" applyAlignment="1">
      <alignment horizontal="right" vertical="center"/>
    </xf>
    <xf numFmtId="180" fontId="40" fillId="0" borderId="13" xfId="0" applyNumberFormat="1" applyFont="1" applyFill="1" applyBorder="1" applyAlignment="1">
      <alignment horizontal="right" vertical="center"/>
    </xf>
    <xf numFmtId="0" fontId="41" fillId="0" borderId="13" xfId="0" applyFont="1" applyFill="1" applyBorder="1" applyAlignment="1">
      <alignment vertical="center"/>
    </xf>
    <xf numFmtId="0" fontId="41" fillId="0" borderId="20" xfId="0" applyFont="1" applyFill="1" applyBorder="1" applyAlignment="1">
      <alignment vertical="center"/>
    </xf>
    <xf numFmtId="0" fontId="39" fillId="0" borderId="11" xfId="3" applyFont="1" applyBorder="1" applyAlignment="1">
      <alignment horizontal="left" vertical="center"/>
    </xf>
    <xf numFmtId="0" fontId="41" fillId="0" borderId="20" xfId="0" applyFont="1" applyFill="1" applyBorder="1" applyAlignment="1">
      <alignment horizontal="left" vertical="center"/>
    </xf>
    <xf numFmtId="181" fontId="40" fillId="0" borderId="13" xfId="0" applyNumberFormat="1" applyFont="1" applyFill="1" applyBorder="1" applyAlignment="1">
      <alignment horizontal="right" vertical="center"/>
    </xf>
    <xf numFmtId="182" fontId="40" fillId="0" borderId="13" xfId="0" applyNumberFormat="1" applyFont="1" applyFill="1" applyBorder="1" applyAlignment="1">
      <alignment horizontal="right" vertical="center"/>
    </xf>
    <xf numFmtId="0" fontId="39" fillId="0" borderId="11" xfId="3" applyFont="1" applyFill="1" applyBorder="1" applyAlignment="1">
      <alignment horizontal="left" vertical="center"/>
    </xf>
    <xf numFmtId="182" fontId="40" fillId="0" borderId="13" xfId="0" applyNumberFormat="1" applyFont="1" applyFill="1" applyBorder="1" applyAlignment="1">
      <alignment horizontal="center" vertical="center"/>
    </xf>
    <xf numFmtId="170" fontId="39" fillId="0" borderId="13" xfId="3" applyNumberFormat="1" applyFont="1" applyFill="1" applyBorder="1" applyAlignment="1">
      <alignment horizontal="center" vertical="center"/>
    </xf>
    <xf numFmtId="0" fontId="27" fillId="0" borderId="4" xfId="3" applyFont="1" applyBorder="1" applyAlignment="1">
      <alignment horizontal="left" vertical="center"/>
    </xf>
    <xf numFmtId="168" fontId="27" fillId="0" borderId="5" xfId="3" applyNumberFormat="1" applyFont="1" applyFill="1" applyBorder="1" applyAlignment="1">
      <alignment horizontal="center" vertical="center"/>
    </xf>
    <xf numFmtId="0" fontId="44" fillId="5" borderId="11" xfId="3" applyFont="1" applyFill="1" applyBorder="1" applyAlignment="1">
      <alignment horizontal="left" vertical="center"/>
    </xf>
    <xf numFmtId="0" fontId="44" fillId="5" borderId="12" xfId="3" applyFont="1" applyFill="1" applyBorder="1" applyAlignment="1">
      <alignment horizontal="left" vertical="center"/>
    </xf>
    <xf numFmtId="165" fontId="44" fillId="5" borderId="13" xfId="3" applyNumberFormat="1" applyFont="1" applyFill="1" applyBorder="1" applyAlignment="1">
      <alignment horizontal="center" vertical="center"/>
    </xf>
    <xf numFmtId="166" fontId="44" fillId="5" borderId="13" xfId="3" applyNumberFormat="1" applyFont="1" applyFill="1" applyBorder="1" applyAlignment="1">
      <alignment horizontal="center" vertical="center"/>
    </xf>
    <xf numFmtId="183" fontId="40" fillId="0" borderId="13" xfId="0" applyNumberFormat="1" applyFont="1" applyFill="1" applyBorder="1" applyAlignment="1">
      <alignment horizontal="center" vertical="center"/>
    </xf>
    <xf numFmtId="0" fontId="29" fillId="0" borderId="20" xfId="3" applyFont="1" applyBorder="1" applyAlignment="1">
      <alignment vertical="center"/>
    </xf>
    <xf numFmtId="0" fontId="29" fillId="0" borderId="10" xfId="3" applyFont="1" applyBorder="1" applyAlignment="1">
      <alignment vertical="center"/>
    </xf>
    <xf numFmtId="168" fontId="44" fillId="5" borderId="14" xfId="3" applyNumberFormat="1" applyFont="1" applyFill="1" applyBorder="1" applyAlignment="1">
      <alignment horizontal="center" vertical="center"/>
    </xf>
    <xf numFmtId="0" fontId="46" fillId="0" borderId="15" xfId="3" applyFont="1" applyBorder="1" applyAlignment="1">
      <alignment horizontal="left" vertical="center"/>
    </xf>
    <xf numFmtId="0" fontId="41" fillId="0" borderId="13" xfId="0" applyFont="1" applyFill="1" applyBorder="1" applyAlignment="1">
      <alignment horizontal="left" vertical="center" wrapText="1"/>
    </xf>
    <xf numFmtId="0" fontId="39" fillId="0" borderId="9" xfId="3" applyFont="1" applyBorder="1" applyAlignment="1">
      <alignment vertical="center" wrapText="1"/>
    </xf>
    <xf numFmtId="0" fontId="39" fillId="0" borderId="13" xfId="3" applyNumberFormat="1" applyFont="1" applyBorder="1" applyAlignment="1">
      <alignment horizontal="center" vertical="center"/>
    </xf>
    <xf numFmtId="0" fontId="39" fillId="0" borderId="9" xfId="3" applyFont="1" applyBorder="1" applyAlignment="1">
      <alignment vertical="center"/>
    </xf>
    <xf numFmtId="0" fontId="39" fillId="0" borderId="11" xfId="3" applyFont="1" applyBorder="1" applyAlignment="1">
      <alignment vertical="center"/>
    </xf>
    <xf numFmtId="0" fontId="8" fillId="2" borderId="9" xfId="2" applyFont="1" applyFill="1" applyBorder="1" applyAlignment="1">
      <alignment vertical="center"/>
    </xf>
    <xf numFmtId="0" fontId="9" fillId="2" borderId="9" xfId="2" applyFont="1" applyFill="1" applyBorder="1" applyAlignment="1">
      <alignment horizontal="center" vertical="center"/>
    </xf>
    <xf numFmtId="0" fontId="19" fillId="4" borderId="9" xfId="2" applyFont="1" applyFill="1" applyBorder="1" applyAlignment="1">
      <alignment horizontal="left" vertical="center"/>
    </xf>
    <xf numFmtId="0" fontId="20" fillId="4" borderId="9" xfId="2" applyFont="1" applyFill="1" applyBorder="1" applyAlignment="1">
      <alignment vertical="center"/>
    </xf>
    <xf numFmtId="165" fontId="44" fillId="3" borderId="13" xfId="3" applyNumberFormat="1" applyFont="1" applyFill="1" applyBorder="1" applyAlignment="1">
      <alignment horizontal="center" vertical="center"/>
    </xf>
    <xf numFmtId="166" fontId="44" fillId="3" borderId="13" xfId="3" applyNumberFormat="1" applyFont="1" applyFill="1" applyBorder="1" applyAlignment="1">
      <alignment horizontal="center" vertical="center"/>
    </xf>
    <xf numFmtId="168" fontId="44" fillId="3" borderId="14" xfId="3" applyNumberFormat="1" applyFont="1" applyFill="1" applyBorder="1" applyAlignment="1">
      <alignment horizontal="center" vertical="center"/>
    </xf>
    <xf numFmtId="0" fontId="48" fillId="0" borderId="15" xfId="3" applyFont="1" applyBorder="1" applyAlignment="1">
      <alignment horizontal="left" vertical="center"/>
    </xf>
    <xf numFmtId="0" fontId="49" fillId="0" borderId="11" xfId="3" applyFont="1" applyBorder="1" applyAlignment="1">
      <alignment vertical="center"/>
    </xf>
    <xf numFmtId="0" fontId="49" fillId="0" borderId="9" xfId="3" applyFont="1" applyBorder="1" applyAlignment="1">
      <alignment vertical="center"/>
    </xf>
    <xf numFmtId="0" fontId="49" fillId="0" borderId="13" xfId="3" applyNumberFormat="1" applyFont="1" applyFill="1" applyBorder="1" applyAlignment="1">
      <alignment horizontal="center" vertical="center"/>
    </xf>
    <xf numFmtId="0" fontId="49" fillId="0" borderId="13" xfId="3" applyNumberFormat="1" applyFont="1" applyBorder="1" applyAlignment="1">
      <alignment horizontal="center" vertical="center"/>
    </xf>
    <xf numFmtId="0" fontId="48" fillId="0" borderId="16" xfId="3" applyFont="1" applyBorder="1" applyAlignment="1">
      <alignment horizontal="left" vertical="center"/>
    </xf>
    <xf numFmtId="0" fontId="49" fillId="0" borderId="20" xfId="3" applyNumberFormat="1" applyFont="1" applyBorder="1" applyAlignment="1">
      <alignment horizontal="center" vertical="center"/>
    </xf>
    <xf numFmtId="164" fontId="50" fillId="4" borderId="21" xfId="3" applyNumberFormat="1" applyFont="1" applyFill="1" applyBorder="1" applyAlignment="1">
      <alignment horizontal="left" vertical="center"/>
    </xf>
    <xf numFmtId="0" fontId="51" fillId="4" borderId="22" xfId="3" applyFont="1" applyFill="1" applyBorder="1" applyAlignment="1">
      <alignment vertical="center"/>
    </xf>
    <xf numFmtId="164" fontId="50" fillId="4" borderId="22" xfId="3" applyNumberFormat="1" applyFont="1" applyFill="1" applyBorder="1" applyAlignment="1">
      <alignment horizontal="center" vertical="center"/>
    </xf>
    <xf numFmtId="168" fontId="50" fillId="4" borderId="23" xfId="3" applyNumberFormat="1" applyFont="1" applyFill="1" applyBorder="1" applyAlignment="1">
      <alignment horizontal="center" vertical="center"/>
    </xf>
    <xf numFmtId="0" fontId="26" fillId="0" borderId="4" xfId="3" applyFont="1" applyBorder="1" applyAlignment="1">
      <alignment horizontal="left" vertical="center"/>
    </xf>
    <xf numFmtId="164" fontId="27" fillId="0" borderId="0" xfId="3" applyNumberFormat="1" applyFont="1" applyFill="1" applyBorder="1" applyAlignment="1">
      <alignment vertical="center"/>
    </xf>
    <xf numFmtId="165" fontId="27" fillId="0" borderId="0" xfId="3" applyNumberFormat="1" applyFont="1" applyFill="1" applyBorder="1" applyAlignment="1">
      <alignment horizontal="center" vertical="center"/>
    </xf>
    <xf numFmtId="166" fontId="27" fillId="0" borderId="0" xfId="3" applyNumberFormat="1" applyFont="1" applyFill="1" applyBorder="1" applyAlignment="1">
      <alignment horizontal="center" vertical="center"/>
    </xf>
    <xf numFmtId="165" fontId="50" fillId="4" borderId="22" xfId="3" applyNumberFormat="1" applyFont="1" applyFill="1" applyBorder="1" applyAlignment="1">
      <alignment horizontal="center" vertical="center"/>
    </xf>
    <xf numFmtId="176" fontId="19" fillId="4" borderId="23" xfId="2" applyNumberFormat="1" applyFont="1" applyFill="1" applyBorder="1" applyAlignment="1">
      <alignment horizontal="center" vertical="center"/>
    </xf>
    <xf numFmtId="0" fontId="7" fillId="0" borderId="1" xfId="2" applyFont="1" applyBorder="1" applyAlignment="1">
      <alignment vertical="center"/>
    </xf>
    <xf numFmtId="165" fontId="6" fillId="0" borderId="2" xfId="2" applyNumberFormat="1" applyFont="1" applyBorder="1" applyAlignment="1">
      <alignment horizontal="center" vertical="center"/>
    </xf>
    <xf numFmtId="166" fontId="6" fillId="0" borderId="2" xfId="2" applyNumberFormat="1" applyFont="1" applyBorder="1" applyAlignment="1">
      <alignment horizontal="center" vertical="center"/>
    </xf>
    <xf numFmtId="167" fontId="6" fillId="0" borderId="3" xfId="2" applyNumberFormat="1" applyFont="1" applyBorder="1" applyAlignment="1">
      <alignment horizontal="center" vertical="center"/>
    </xf>
    <xf numFmtId="167" fontId="9" fillId="0" borderId="4" xfId="2" applyNumberFormat="1" applyFont="1" applyBorder="1" applyAlignment="1">
      <alignment horizontal="center" vertical="center"/>
    </xf>
    <xf numFmtId="0" fontId="9" fillId="0" borderId="5" xfId="2" applyFont="1" applyBorder="1" applyAlignment="1">
      <alignment vertical="center"/>
    </xf>
    <xf numFmtId="167" fontId="10" fillId="0" borderId="4" xfId="2" applyNumberFormat="1" applyFont="1" applyBorder="1" applyAlignment="1">
      <alignment horizontal="center" vertical="center"/>
    </xf>
    <xf numFmtId="165" fontId="11" fillId="0" borderId="4" xfId="2" applyNumberFormat="1" applyFont="1" applyFill="1" applyBorder="1" applyAlignment="1">
      <alignment horizontal="left" vertical="center"/>
    </xf>
    <xf numFmtId="165" fontId="12" fillId="0" borderId="26" xfId="2" applyNumberFormat="1" applyFont="1" applyFill="1" applyBorder="1" applyAlignment="1">
      <alignment vertical="center" wrapText="1"/>
    </xf>
    <xf numFmtId="165" fontId="12" fillId="0" borderId="27" xfId="2" applyNumberFormat="1" applyFont="1" applyFill="1" applyBorder="1" applyAlignment="1">
      <alignment vertical="center" wrapText="1"/>
    </xf>
    <xf numFmtId="0" fontId="10" fillId="0" borderId="27" xfId="2" applyFont="1" applyBorder="1" applyAlignment="1">
      <alignment vertical="center"/>
    </xf>
    <xf numFmtId="0" fontId="9" fillId="0" borderId="28" xfId="2" applyFont="1" applyBorder="1" applyAlignment="1">
      <alignment vertical="center"/>
    </xf>
    <xf numFmtId="164" fontId="30" fillId="2" borderId="13" xfId="0" applyNumberFormat="1" applyFont="1" applyFill="1" applyBorder="1" applyAlignment="1">
      <alignment horizontal="center" vertical="center" wrapText="1"/>
    </xf>
    <xf numFmtId="0" fontId="30" fillId="2" borderId="1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164" fontId="25" fillId="0" borderId="21" xfId="2" applyNumberFormat="1" applyFont="1" applyFill="1" applyBorder="1" applyAlignment="1">
      <alignment horizontal="left" vertical="center"/>
    </xf>
    <xf numFmtId="0" fontId="28" fillId="0" borderId="22" xfId="2" applyFont="1" applyFill="1" applyBorder="1" applyAlignment="1">
      <alignment vertical="center"/>
    </xf>
    <xf numFmtId="165" fontId="25" fillId="0" borderId="22" xfId="2" applyNumberFormat="1" applyFont="1" applyFill="1" applyBorder="1" applyAlignment="1">
      <alignment horizontal="center" vertical="center"/>
    </xf>
    <xf numFmtId="10" fontId="25" fillId="0" borderId="22" xfId="2" applyNumberFormat="1" applyFont="1" applyFill="1" applyBorder="1" applyAlignment="1">
      <alignment horizontal="center" vertical="center"/>
    </xf>
    <xf numFmtId="168" fontId="25" fillId="0" borderId="23" xfId="2" applyNumberFormat="1" applyFont="1" applyFill="1" applyBorder="1" applyAlignment="1">
      <alignment horizontal="center" vertical="center"/>
    </xf>
    <xf numFmtId="0" fontId="0" fillId="0" borderId="0" xfId="0" applyFill="1"/>
    <xf numFmtId="0" fontId="25" fillId="0" borderId="21" xfId="2" applyFont="1" applyFill="1" applyBorder="1" applyAlignment="1">
      <alignment horizontal="left" vertical="center"/>
    </xf>
    <xf numFmtId="0" fontId="25" fillId="0" borderId="22" xfId="2" applyFont="1" applyFill="1" applyBorder="1" applyAlignment="1">
      <alignment vertical="center"/>
    </xf>
    <xf numFmtId="166" fontId="25" fillId="0" borderId="22" xfId="2" applyNumberFormat="1" applyFont="1" applyFill="1" applyBorder="1" applyAlignment="1">
      <alignment horizontal="center" vertical="center"/>
    </xf>
    <xf numFmtId="164" fontId="19" fillId="12" borderId="21" xfId="2" applyNumberFormat="1" applyFont="1" applyFill="1" applyBorder="1" applyAlignment="1">
      <alignment horizontal="left" vertical="center"/>
    </xf>
    <xf numFmtId="0" fontId="20" fillId="12" borderId="22" xfId="2" applyFont="1" applyFill="1" applyBorder="1" applyAlignment="1">
      <alignment vertical="center"/>
    </xf>
    <xf numFmtId="165" fontId="19" fillId="12" borderId="22" xfId="2" applyNumberFormat="1" applyFont="1" applyFill="1" applyBorder="1" applyAlignment="1">
      <alignment horizontal="center" vertical="center"/>
    </xf>
    <xf numFmtId="10" fontId="19" fillId="12" borderId="22" xfId="2" applyNumberFormat="1" applyFont="1" applyFill="1" applyBorder="1" applyAlignment="1">
      <alignment horizontal="center" vertical="center"/>
    </xf>
    <xf numFmtId="168" fontId="19" fillId="12" borderId="23" xfId="2" applyNumberFormat="1" applyFont="1" applyFill="1" applyBorder="1" applyAlignment="1">
      <alignment horizontal="center" vertical="center"/>
    </xf>
    <xf numFmtId="0" fontId="0" fillId="9" borderId="0" xfId="0" applyFill="1" applyAlignment="1"/>
    <xf numFmtId="0" fontId="21" fillId="0" borderId="29" xfId="2" applyFont="1" applyFill="1" applyBorder="1" applyAlignment="1">
      <alignment horizontal="left" vertical="center"/>
    </xf>
    <xf numFmtId="0" fontId="39" fillId="0" borderId="31" xfId="3" applyFont="1" applyBorder="1" applyAlignment="1">
      <alignment horizontal="left" vertical="center"/>
    </xf>
    <xf numFmtId="0" fontId="41" fillId="0" borderId="30" xfId="0" applyFont="1" applyFill="1" applyBorder="1" applyAlignment="1">
      <alignment horizontal="left" vertical="center"/>
    </xf>
    <xf numFmtId="175" fontId="39" fillId="0" borderId="33" xfId="3" applyNumberFormat="1" applyFont="1" applyFill="1" applyBorder="1" applyAlignment="1">
      <alignment horizontal="center" vertical="center"/>
    </xf>
    <xf numFmtId="181" fontId="40" fillId="0" borderId="33" xfId="0" applyNumberFormat="1" applyFont="1" applyFill="1" applyBorder="1" applyAlignment="1">
      <alignment horizontal="right" vertical="center"/>
    </xf>
    <xf numFmtId="175" fontId="39" fillId="0" borderId="33" xfId="3" applyNumberFormat="1" applyFont="1" applyBorder="1" applyAlignment="1">
      <alignment horizontal="center" vertical="center"/>
    </xf>
    <xf numFmtId="168" fontId="39" fillId="0" borderId="34" xfId="3" applyNumberFormat="1" applyFont="1" applyFill="1" applyBorder="1" applyAlignment="1">
      <alignment horizontal="center" vertical="center"/>
    </xf>
    <xf numFmtId="177" fontId="58" fillId="11" borderId="14" xfId="2" applyNumberFormat="1" applyFont="1" applyFill="1" applyBorder="1" applyAlignment="1">
      <alignment horizontal="center" vertical="center"/>
    </xf>
    <xf numFmtId="165" fontId="44" fillId="5" borderId="33" xfId="3" applyNumberFormat="1" applyFont="1" applyFill="1" applyBorder="1" applyAlignment="1">
      <alignment horizontal="center" vertical="center"/>
    </xf>
    <xf numFmtId="166" fontId="44" fillId="5" borderId="33" xfId="3" applyNumberFormat="1" applyFont="1" applyFill="1" applyBorder="1" applyAlignment="1">
      <alignment horizontal="center" vertical="center"/>
    </xf>
    <xf numFmtId="166" fontId="60" fillId="14" borderId="22" xfId="3" applyNumberFormat="1" applyFont="1" applyFill="1" applyBorder="1" applyAlignment="1">
      <alignment horizontal="center" vertical="center"/>
    </xf>
    <xf numFmtId="0" fontId="44" fillId="5" borderId="31" xfId="3" applyFont="1" applyFill="1" applyBorder="1" applyAlignment="1">
      <alignment horizontal="left" vertical="center"/>
    </xf>
    <xf numFmtId="0" fontId="44" fillId="5" borderId="32" xfId="3" applyFont="1" applyFill="1" applyBorder="1" applyAlignment="1">
      <alignment horizontal="center" vertical="center"/>
    </xf>
    <xf numFmtId="0" fontId="44" fillId="5" borderId="33" xfId="3" applyFont="1" applyFill="1" applyBorder="1" applyAlignment="1">
      <alignment horizontal="center" vertical="center"/>
    </xf>
    <xf numFmtId="0" fontId="59" fillId="14" borderId="21" xfId="3" applyFont="1" applyFill="1" applyBorder="1" applyAlignment="1">
      <alignment horizontal="left" vertical="center"/>
    </xf>
    <xf numFmtId="0" fontId="60" fillId="14" borderId="22" xfId="3" applyFont="1" applyFill="1" applyBorder="1" applyAlignment="1">
      <alignment vertical="center"/>
    </xf>
    <xf numFmtId="0" fontId="60" fillId="14" borderId="22" xfId="3" applyFont="1" applyFill="1" applyBorder="1" applyAlignment="1">
      <alignment horizontal="center" vertical="center"/>
    </xf>
    <xf numFmtId="168" fontId="44" fillId="5" borderId="34" xfId="3" applyNumberFormat="1" applyFont="1" applyFill="1" applyBorder="1" applyAlignment="1">
      <alignment horizontal="center" vertical="center"/>
    </xf>
    <xf numFmtId="0" fontId="8" fillId="14" borderId="21" xfId="2" applyFont="1" applyFill="1" applyBorder="1" applyAlignment="1">
      <alignment horizontal="left" vertical="center"/>
    </xf>
    <xf numFmtId="0" fontId="8" fillId="14" borderId="22" xfId="2" applyFont="1" applyFill="1" applyBorder="1" applyAlignment="1">
      <alignment vertical="center"/>
    </xf>
    <xf numFmtId="0" fontId="9" fillId="14" borderId="22" xfId="2" applyFont="1" applyFill="1" applyBorder="1" applyAlignment="1">
      <alignment horizontal="center" vertical="center"/>
    </xf>
    <xf numFmtId="165" fontId="9" fillId="14" borderId="22" xfId="2" applyNumberFormat="1" applyFont="1" applyFill="1" applyBorder="1" applyAlignment="1">
      <alignment horizontal="center" vertical="center"/>
    </xf>
    <xf numFmtId="0" fontId="0" fillId="14" borderId="22" xfId="0" applyFill="1" applyBorder="1"/>
    <xf numFmtId="0" fontId="27" fillId="14" borderId="22" xfId="3" applyFont="1" applyFill="1" applyBorder="1" applyAlignment="1">
      <alignment horizontal="left" vertical="center"/>
    </xf>
    <xf numFmtId="168" fontId="8" fillId="14" borderId="23" xfId="2" applyNumberFormat="1" applyFont="1" applyFill="1" applyBorder="1" applyAlignment="1">
      <alignment horizontal="center" vertical="center"/>
    </xf>
    <xf numFmtId="0" fontId="40" fillId="0" borderId="12" xfId="0" applyFont="1" applyFill="1" applyBorder="1" applyAlignment="1">
      <alignment vertical="center"/>
    </xf>
    <xf numFmtId="0" fontId="52" fillId="0" borderId="32" xfId="3" applyFont="1" applyFill="1" applyBorder="1" applyAlignment="1">
      <alignment vertical="center" wrapText="1"/>
    </xf>
    <xf numFmtId="0" fontId="39" fillId="0" borderId="29" xfId="3" applyFont="1" applyFill="1" applyBorder="1" applyAlignment="1">
      <alignment horizontal="left" vertical="center"/>
    </xf>
    <xf numFmtId="0" fontId="40" fillId="0" borderId="32" xfId="0" applyFont="1" applyFill="1" applyBorder="1" applyAlignment="1">
      <alignment vertical="center"/>
    </xf>
    <xf numFmtId="0" fontId="39" fillId="0" borderId="33" xfId="3" applyNumberFormat="1" applyFont="1" applyFill="1" applyBorder="1" applyAlignment="1">
      <alignment horizontal="center" vertical="center"/>
    </xf>
    <xf numFmtId="0" fontId="40" fillId="0" borderId="33" xfId="0" applyNumberFormat="1" applyFont="1" applyFill="1" applyBorder="1" applyAlignment="1">
      <alignment horizontal="right" vertical="center"/>
    </xf>
    <xf numFmtId="180" fontId="40" fillId="0" borderId="33" xfId="0" applyNumberFormat="1" applyFont="1" applyFill="1" applyBorder="1" applyAlignment="1">
      <alignment horizontal="right" vertical="center"/>
    </xf>
    <xf numFmtId="165" fontId="60" fillId="14" borderId="22" xfId="3" applyNumberFormat="1" applyFont="1" applyFill="1" applyBorder="1" applyAlignment="1">
      <alignment horizontal="center" vertical="center"/>
    </xf>
    <xf numFmtId="9" fontId="56" fillId="14" borderId="22" xfId="4" applyFont="1" applyFill="1" applyBorder="1" applyAlignment="1">
      <alignment horizontal="center" vertical="center"/>
    </xf>
    <xf numFmtId="168" fontId="61" fillId="14" borderId="23" xfId="3" applyNumberFormat="1" applyFont="1" applyFill="1" applyBorder="1" applyAlignment="1">
      <alignment vertical="center"/>
    </xf>
    <xf numFmtId="0" fontId="8" fillId="3" borderId="37" xfId="2" applyFont="1" applyFill="1" applyBorder="1" applyAlignment="1">
      <alignment horizontal="center" vertical="center"/>
    </xf>
    <xf numFmtId="165" fontId="8" fillId="3" borderId="30" xfId="2" applyNumberFormat="1" applyFont="1" applyFill="1" applyBorder="1" applyAlignment="1">
      <alignment horizontal="center" vertical="center"/>
    </xf>
    <xf numFmtId="166" fontId="8" fillId="3" borderId="30" xfId="2" applyNumberFormat="1" applyFont="1" applyFill="1" applyBorder="1" applyAlignment="1">
      <alignment horizontal="center" vertical="center"/>
    </xf>
    <xf numFmtId="168" fontId="8" fillId="3" borderId="38" xfId="2" applyNumberFormat="1" applyFont="1" applyFill="1" applyBorder="1" applyAlignment="1">
      <alignment horizontal="center" vertical="center"/>
    </xf>
    <xf numFmtId="0" fontId="41" fillId="0" borderId="11" xfId="0" applyFont="1" applyFill="1" applyBorder="1" applyAlignment="1">
      <alignment vertical="center"/>
    </xf>
    <xf numFmtId="0" fontId="41" fillId="0" borderId="12" xfId="0" applyFont="1" applyFill="1" applyBorder="1" applyAlignment="1">
      <alignment vertical="center"/>
    </xf>
    <xf numFmtId="0" fontId="39" fillId="0" borderId="24" xfId="3" applyFont="1" applyBorder="1" applyAlignment="1">
      <alignment horizontal="left" vertical="center"/>
    </xf>
    <xf numFmtId="0" fontId="39" fillId="0" borderId="9" xfId="3" applyFont="1" applyBorder="1" applyAlignment="1">
      <alignment horizontal="left" vertical="center"/>
    </xf>
    <xf numFmtId="0" fontId="39" fillId="0" borderId="10" xfId="3" applyFont="1" applyBorder="1" applyAlignment="1">
      <alignment horizontal="left" vertical="center"/>
    </xf>
    <xf numFmtId="0" fontId="41" fillId="0" borderId="9" xfId="0" applyFont="1" applyFill="1" applyBorder="1" applyAlignment="1">
      <alignment horizontal="center" vertical="center" wrapText="1"/>
    </xf>
    <xf numFmtId="0" fontId="39" fillId="0" borderId="8" xfId="3" applyFont="1" applyBorder="1" applyAlignment="1">
      <alignment horizontal="center" vertical="center"/>
    </xf>
    <xf numFmtId="0" fontId="39" fillId="0" borderId="9" xfId="3" applyFont="1" applyBorder="1" applyAlignment="1">
      <alignment horizontal="center" vertical="center"/>
    </xf>
    <xf numFmtId="0" fontId="40" fillId="0" borderId="12" xfId="0" applyNumberFormat="1" applyFont="1" applyFill="1" applyBorder="1" applyAlignment="1">
      <alignment horizontal="center" vertical="center"/>
    </xf>
    <xf numFmtId="0" fontId="41" fillId="0" borderId="11" xfId="0" applyFont="1" applyFill="1" applyBorder="1" applyAlignment="1">
      <alignment horizontal="left" vertical="center"/>
    </xf>
    <xf numFmtId="0" fontId="40" fillId="0" borderId="11" xfId="0" applyFont="1" applyFill="1" applyBorder="1" applyAlignment="1">
      <alignment vertical="center"/>
    </xf>
    <xf numFmtId="0" fontId="29" fillId="0" borderId="36" xfId="3" applyFont="1" applyBorder="1" applyAlignment="1">
      <alignment vertical="center"/>
    </xf>
    <xf numFmtId="0" fontId="29" fillId="0" borderId="37" xfId="3" applyFont="1" applyBorder="1" applyAlignment="1">
      <alignment vertical="center"/>
    </xf>
    <xf numFmtId="0" fontId="44" fillId="5" borderId="32" xfId="3" applyFont="1" applyFill="1" applyBorder="1" applyAlignment="1">
      <alignment horizontal="left" vertical="center"/>
    </xf>
    <xf numFmtId="0" fontId="27" fillId="14" borderId="21" xfId="3" applyFont="1" applyFill="1" applyBorder="1" applyAlignment="1">
      <alignment horizontal="left" vertical="center"/>
    </xf>
    <xf numFmtId="0" fontId="26" fillId="14" borderId="22" xfId="3" applyFont="1" applyFill="1" applyBorder="1" applyAlignment="1">
      <alignment vertical="center"/>
    </xf>
    <xf numFmtId="0" fontId="26" fillId="14" borderId="22" xfId="3" applyFont="1" applyFill="1" applyBorder="1" applyAlignment="1">
      <alignment horizontal="center" vertical="center"/>
    </xf>
    <xf numFmtId="165" fontId="26" fillId="14" borderId="22" xfId="3" applyNumberFormat="1" applyFont="1" applyFill="1" applyBorder="1" applyAlignment="1">
      <alignment horizontal="center" vertical="center"/>
    </xf>
    <xf numFmtId="9" fontId="43" fillId="14" borderId="22" xfId="4" applyFont="1" applyFill="1" applyBorder="1" applyAlignment="1">
      <alignment horizontal="center" vertical="center"/>
    </xf>
    <xf numFmtId="168" fontId="27" fillId="14" borderId="23" xfId="3" applyNumberFormat="1" applyFont="1" applyFill="1" applyBorder="1" applyAlignment="1">
      <alignment horizontal="center" vertical="center"/>
    </xf>
    <xf numFmtId="0" fontId="59" fillId="14" borderId="22" xfId="3" applyFont="1" applyFill="1" applyBorder="1" applyAlignment="1">
      <alignment horizontal="left" vertical="center"/>
    </xf>
    <xf numFmtId="168" fontId="59" fillId="14" borderId="23" xfId="3" applyNumberFormat="1" applyFont="1" applyFill="1" applyBorder="1" applyAlignment="1">
      <alignment horizontal="center" vertical="center"/>
    </xf>
    <xf numFmtId="0" fontId="59" fillId="14" borderId="22" xfId="3" applyFont="1" applyFill="1" applyBorder="1" applyAlignment="1">
      <alignment vertical="center"/>
    </xf>
    <xf numFmtId="0" fontId="59" fillId="14" borderId="22" xfId="3" applyFont="1" applyFill="1" applyBorder="1" applyAlignment="1">
      <alignment horizontal="center" vertical="center"/>
    </xf>
    <xf numFmtId="165" fontId="59" fillId="14" borderId="22" xfId="3" applyNumberFormat="1" applyFont="1" applyFill="1" applyBorder="1" applyAlignment="1">
      <alignment horizontal="center" vertical="center"/>
    </xf>
    <xf numFmtId="0" fontId="32" fillId="0" borderId="0" xfId="0" applyFont="1"/>
    <xf numFmtId="0" fontId="8" fillId="2" borderId="2" xfId="2" applyFont="1" applyFill="1" applyBorder="1" applyAlignment="1">
      <alignment vertical="center"/>
    </xf>
    <xf numFmtId="0" fontId="9" fillId="2" borderId="2" xfId="2" applyFont="1" applyFill="1" applyBorder="1" applyAlignment="1">
      <alignment horizontal="center" vertical="center"/>
    </xf>
    <xf numFmtId="0" fontId="19" fillId="4" borderId="1" xfId="2" applyFont="1" applyFill="1" applyBorder="1" applyAlignment="1">
      <alignment horizontal="left" vertical="center"/>
    </xf>
    <xf numFmtId="0" fontId="20" fillId="4" borderId="2" xfId="2" applyFont="1" applyFill="1" applyBorder="1" applyAlignment="1">
      <alignment vertical="center"/>
    </xf>
    <xf numFmtId="166" fontId="20" fillId="4" borderId="2" xfId="2" applyNumberFormat="1" applyFont="1" applyFill="1" applyBorder="1" applyAlignment="1">
      <alignment horizontal="center" vertical="center"/>
    </xf>
    <xf numFmtId="168" fontId="19" fillId="4" borderId="3" xfId="2" applyNumberFormat="1" applyFont="1" applyFill="1" applyBorder="1" applyAlignment="1">
      <alignment horizontal="center" vertical="center"/>
    </xf>
    <xf numFmtId="0" fontId="9" fillId="0" borderId="4" xfId="2" applyFont="1" applyBorder="1" applyAlignment="1">
      <alignment vertical="center"/>
    </xf>
    <xf numFmtId="0" fontId="9" fillId="0" borderId="1" xfId="2" applyFont="1" applyBorder="1" applyAlignment="1">
      <alignment horizontal="left" vertical="center"/>
    </xf>
    <xf numFmtId="0" fontId="29" fillId="0" borderId="4" xfId="2" applyFont="1" applyBorder="1" applyAlignment="1">
      <alignment vertical="center"/>
    </xf>
    <xf numFmtId="0" fontId="0" fillId="0" borderId="0" xfId="0" applyAlignment="1">
      <alignment horizontal="left"/>
    </xf>
    <xf numFmtId="0" fontId="44" fillId="3" borderId="11" xfId="3" applyFont="1" applyFill="1" applyBorder="1" applyAlignment="1">
      <alignment horizontal="left" vertical="center"/>
    </xf>
    <xf numFmtId="0" fontId="44" fillId="3" borderId="33" xfId="3" applyFont="1" applyFill="1" applyBorder="1" applyAlignment="1">
      <alignment horizontal="left" vertical="center"/>
    </xf>
    <xf numFmtId="0" fontId="22" fillId="0" borderId="11" xfId="2" applyFont="1" applyFill="1" applyBorder="1" applyAlignment="1">
      <alignment horizontal="left" vertical="center"/>
    </xf>
    <xf numFmtId="0" fontId="22" fillId="0" borderId="12" xfId="2" applyFont="1" applyFill="1" applyBorder="1" applyAlignment="1">
      <alignment horizontal="left" vertical="center"/>
    </xf>
    <xf numFmtId="0" fontId="8" fillId="3" borderId="36" xfId="2" applyFont="1" applyFill="1" applyBorder="1" applyAlignment="1">
      <alignment horizontal="left" vertical="center"/>
    </xf>
    <xf numFmtId="0" fontId="8" fillId="3" borderId="11" xfId="2" applyFont="1" applyFill="1" applyBorder="1" applyAlignment="1">
      <alignment horizontal="left" vertical="center"/>
    </xf>
    <xf numFmtId="0" fontId="23" fillId="0" borderId="11" xfId="2" applyFont="1" applyBorder="1" applyAlignment="1">
      <alignment horizontal="left" vertical="center"/>
    </xf>
    <xf numFmtId="0" fontId="23" fillId="0" borderId="12" xfId="2" applyFont="1" applyBorder="1" applyAlignment="1">
      <alignment horizontal="left" vertical="center"/>
    </xf>
    <xf numFmtId="0" fontId="22" fillId="0" borderId="11" xfId="2" applyFont="1" applyBorder="1" applyAlignment="1">
      <alignment horizontal="left" vertical="center"/>
    </xf>
    <xf numFmtId="0" fontId="22" fillId="0" borderId="12" xfId="2" applyFont="1" applyBorder="1" applyAlignment="1">
      <alignment horizontal="left" vertical="center"/>
    </xf>
    <xf numFmtId="178" fontId="22" fillId="0" borderId="11" xfId="2" applyNumberFormat="1" applyFont="1" applyBorder="1" applyAlignment="1">
      <alignment horizontal="center" vertical="center"/>
    </xf>
    <xf numFmtId="178" fontId="22" fillId="0" borderId="12" xfId="2" applyNumberFormat="1" applyFont="1" applyBorder="1" applyAlignment="1">
      <alignment horizontal="center" vertical="center"/>
    </xf>
    <xf numFmtId="0" fontId="39" fillId="0" borderId="13" xfId="3" applyFont="1" applyBorder="1" applyAlignment="1">
      <alignment horizontal="left" vertical="center"/>
    </xf>
    <xf numFmtId="177" fontId="39" fillId="0" borderId="13" xfId="3" applyNumberFormat="1" applyFont="1" applyBorder="1" applyAlignment="1">
      <alignment horizontal="center" vertical="center"/>
    </xf>
    <xf numFmtId="179" fontId="40" fillId="0" borderId="31" xfId="0" applyNumberFormat="1" applyFont="1" applyFill="1" applyBorder="1" applyAlignment="1">
      <alignment horizontal="left" vertical="center"/>
    </xf>
    <xf numFmtId="0" fontId="4" fillId="0" borderId="7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169" fontId="27" fillId="0" borderId="8" xfId="3" applyNumberFormat="1" applyFont="1" applyFill="1" applyBorder="1" applyAlignment="1">
      <alignment horizontal="left" vertical="center"/>
    </xf>
    <xf numFmtId="0" fontId="36" fillId="0" borderId="9" xfId="3" applyFont="1" applyBorder="1" applyAlignment="1">
      <alignment horizontal="left" vertical="center"/>
    </xf>
    <xf numFmtId="0" fontId="7" fillId="0" borderId="10" xfId="2" applyFont="1" applyBorder="1" applyAlignment="1">
      <alignment horizontal="left" vertical="center"/>
    </xf>
    <xf numFmtId="0" fontId="60" fillId="14" borderId="22" xfId="3" applyFont="1" applyFill="1" applyBorder="1" applyAlignment="1">
      <alignment horizontal="left" vertical="center"/>
    </xf>
    <xf numFmtId="0" fontId="8" fillId="2" borderId="22" xfId="2" applyFont="1" applyFill="1" applyBorder="1" applyAlignment="1">
      <alignment horizontal="left" vertical="center"/>
    </xf>
    <xf numFmtId="0" fontId="8" fillId="14" borderId="22" xfId="2" applyFont="1" applyFill="1" applyBorder="1" applyAlignment="1">
      <alignment horizontal="left" vertical="center"/>
    </xf>
    <xf numFmtId="0" fontId="26" fillId="14" borderId="22" xfId="3" applyFont="1" applyFill="1" applyBorder="1" applyAlignment="1">
      <alignment horizontal="left" vertical="center"/>
    </xf>
    <xf numFmtId="0" fontId="41" fillId="0" borderId="11" xfId="0" quotePrefix="1" applyFont="1" applyFill="1" applyBorder="1" applyAlignment="1">
      <alignment horizontal="left" vertical="center"/>
    </xf>
    <xf numFmtId="0" fontId="29" fillId="0" borderId="24" xfId="3" applyFont="1" applyBorder="1" applyAlignment="1">
      <alignment horizontal="left" vertical="center"/>
    </xf>
    <xf numFmtId="0" fontId="23" fillId="0" borderId="11" xfId="2" applyFont="1" applyBorder="1" applyAlignment="1">
      <alignment horizontal="left" vertical="center" wrapText="1"/>
    </xf>
    <xf numFmtId="0" fontId="8" fillId="2" borderId="0" xfId="2" applyFont="1" applyFill="1" applyBorder="1" applyAlignment="1">
      <alignment horizontal="left" vertical="center"/>
    </xf>
    <xf numFmtId="0" fontId="8" fillId="2" borderId="9" xfId="2" applyFont="1" applyFill="1" applyBorder="1" applyAlignment="1">
      <alignment horizontal="left" vertical="center"/>
    </xf>
    <xf numFmtId="0" fontId="49" fillId="0" borderId="11" xfId="3" applyFont="1" applyBorder="1" applyAlignment="1">
      <alignment horizontal="left" vertical="center"/>
    </xf>
    <xf numFmtId="0" fontId="18" fillId="0" borderId="11" xfId="2" applyFont="1" applyBorder="1" applyAlignment="1">
      <alignment horizontal="left" vertical="center"/>
    </xf>
    <xf numFmtId="0" fontId="18" fillId="0" borderId="17" xfId="2" applyFont="1" applyBorder="1" applyAlignment="1">
      <alignment horizontal="left" vertical="center"/>
    </xf>
    <xf numFmtId="0" fontId="8" fillId="2" borderId="2" xfId="2" applyFont="1" applyFill="1" applyBorder="1" applyAlignment="1">
      <alignment horizontal="left" vertical="center"/>
    </xf>
    <xf numFmtId="10" fontId="50" fillId="15" borderId="22" xfId="4" applyNumberFormat="1" applyFont="1" applyFill="1" applyBorder="1" applyAlignment="1">
      <alignment horizontal="center" vertical="center"/>
    </xf>
    <xf numFmtId="10" fontId="19" fillId="15" borderId="22" xfId="2" applyNumberFormat="1" applyFont="1" applyFill="1" applyBorder="1" applyAlignment="1">
      <alignment horizontal="center" vertical="center"/>
    </xf>
    <xf numFmtId="168" fontId="19" fillId="15" borderId="23" xfId="2" applyNumberFormat="1" applyFont="1" applyFill="1" applyBorder="1" applyAlignment="1">
      <alignment horizontal="center" vertical="center"/>
    </xf>
    <xf numFmtId="165" fontId="62" fillId="15" borderId="28" xfId="3" applyNumberFormat="1" applyFont="1" applyFill="1" applyBorder="1" applyAlignment="1">
      <alignment horizontal="center" vertical="center"/>
    </xf>
    <xf numFmtId="178" fontId="39" fillId="0" borderId="11" xfId="3" applyNumberFormat="1" applyFont="1" applyBorder="1" applyAlignment="1">
      <alignment vertical="center"/>
    </xf>
    <xf numFmtId="0" fontId="39" fillId="0" borderId="12" xfId="3" applyFont="1" applyBorder="1" applyAlignment="1">
      <alignment vertical="center"/>
    </xf>
    <xf numFmtId="178" fontId="49" fillId="0" borderId="11" xfId="3" applyNumberFormat="1" applyFont="1" applyBorder="1" applyAlignment="1">
      <alignment vertical="center"/>
    </xf>
    <xf numFmtId="0" fontId="49" fillId="0" borderId="12" xfId="3" applyFont="1" applyBorder="1" applyAlignment="1">
      <alignment vertical="center"/>
    </xf>
    <xf numFmtId="178" fontId="49" fillId="0" borderId="12" xfId="3" applyNumberFormat="1" applyFont="1" applyBorder="1" applyAlignment="1">
      <alignment vertical="center"/>
    </xf>
    <xf numFmtId="0" fontId="49" fillId="0" borderId="24" xfId="3" applyFont="1" applyBorder="1" applyAlignment="1">
      <alignment vertical="center"/>
    </xf>
    <xf numFmtId="0" fontId="49" fillId="0" borderId="19" xfId="3" applyFont="1" applyBorder="1" applyAlignment="1">
      <alignment vertical="center"/>
    </xf>
    <xf numFmtId="0" fontId="18" fillId="0" borderId="12" xfId="2" applyFont="1" applyBorder="1" applyAlignment="1">
      <alignment vertical="center"/>
    </xf>
    <xf numFmtId="0" fontId="18" fillId="0" borderId="24" xfId="2" applyFont="1" applyBorder="1" applyAlignment="1">
      <alignment vertical="center"/>
    </xf>
    <xf numFmtId="0" fontId="18" fillId="0" borderId="19" xfId="2" applyFont="1" applyBorder="1" applyAlignment="1">
      <alignment vertical="center"/>
    </xf>
    <xf numFmtId="0" fontId="53" fillId="0" borderId="11" xfId="3" applyFont="1" applyBorder="1" applyAlignment="1">
      <alignment vertical="center"/>
    </xf>
    <xf numFmtId="0" fontId="53" fillId="0" borderId="12" xfId="3" applyFont="1" applyBorder="1" applyAlignment="1">
      <alignment vertical="center"/>
    </xf>
    <xf numFmtId="0" fontId="47" fillId="0" borderId="11" xfId="3" applyFont="1" applyBorder="1" applyAlignment="1">
      <alignment vertical="center"/>
    </xf>
    <xf numFmtId="0" fontId="47" fillId="0" borderId="12" xfId="3" applyFont="1" applyBorder="1" applyAlignment="1">
      <alignment vertical="center"/>
    </xf>
    <xf numFmtId="0" fontId="39" fillId="0" borderId="8" xfId="3" applyFont="1" applyBorder="1" applyAlignment="1">
      <alignment horizontal="left" vertical="center"/>
    </xf>
    <xf numFmtId="0" fontId="39" fillId="0" borderId="9" xfId="3" applyFont="1" applyFill="1" applyBorder="1" applyAlignment="1">
      <alignment horizontal="left" vertical="center"/>
    </xf>
    <xf numFmtId="0" fontId="40" fillId="0" borderId="32" xfId="0" applyNumberFormat="1" applyFont="1" applyFill="1" applyBorder="1" applyAlignment="1">
      <alignment horizontal="center" vertical="center"/>
    </xf>
    <xf numFmtId="2" fontId="39" fillId="0" borderId="12" xfId="3" applyNumberFormat="1" applyFont="1" applyFill="1" applyBorder="1" applyAlignment="1">
      <alignment horizontal="center" vertical="center"/>
    </xf>
    <xf numFmtId="0" fontId="22" fillId="0" borderId="31" xfId="2" applyFont="1" applyFill="1" applyBorder="1" applyAlignment="1">
      <alignment vertical="center"/>
    </xf>
    <xf numFmtId="0" fontId="22" fillId="0" borderId="32" xfId="2" applyFont="1" applyFill="1" applyBorder="1" applyAlignment="1">
      <alignment vertical="center"/>
    </xf>
    <xf numFmtId="0" fontId="22" fillId="0" borderId="31" xfId="2" applyFont="1" applyFill="1" applyBorder="1" applyAlignment="1">
      <alignment horizontal="left" vertical="center"/>
    </xf>
    <xf numFmtId="0" fontId="22" fillId="0" borderId="8" xfId="2" applyFont="1" applyFill="1" applyBorder="1" applyAlignment="1">
      <alignment horizontal="left" vertical="center"/>
    </xf>
    <xf numFmtId="1" fontId="22" fillId="0" borderId="12" xfId="2" applyNumberFormat="1" applyFont="1" applyFill="1" applyBorder="1" applyAlignment="1">
      <alignment horizontal="center" vertical="center"/>
    </xf>
    <xf numFmtId="0" fontId="41" fillId="0" borderId="24" xfId="0" applyFont="1" applyFill="1" applyBorder="1" applyAlignment="1">
      <alignment vertical="center"/>
    </xf>
    <xf numFmtId="0" fontId="41" fillId="0" borderId="19" xfId="0" applyFont="1" applyFill="1" applyBorder="1" applyAlignment="1">
      <alignment vertical="center"/>
    </xf>
    <xf numFmtId="0" fontId="41" fillId="0" borderId="36" xfId="0" applyFont="1" applyFill="1" applyBorder="1" applyAlignment="1">
      <alignment vertical="center"/>
    </xf>
    <xf numFmtId="0" fontId="39" fillId="0" borderId="37" xfId="3" applyFont="1" applyFill="1" applyBorder="1" applyAlignment="1">
      <alignment vertical="center"/>
    </xf>
    <xf numFmtId="0" fontId="41" fillId="0" borderId="36" xfId="0" applyFont="1" applyFill="1" applyBorder="1" applyAlignment="1">
      <alignment horizontal="left" vertical="center"/>
    </xf>
    <xf numFmtId="0" fontId="41" fillId="0" borderId="37" xfId="0" applyFont="1" applyFill="1" applyBorder="1" applyAlignment="1">
      <alignment horizontal="left" vertical="center"/>
    </xf>
    <xf numFmtId="0" fontId="22" fillId="0" borderId="8" xfId="2" applyFont="1" applyBorder="1" applyAlignment="1">
      <alignment vertical="center"/>
    </xf>
    <xf numFmtId="181" fontId="57" fillId="13" borderId="22" xfId="0" applyNumberFormat="1" applyFont="1" applyFill="1" applyBorder="1" applyAlignment="1">
      <alignment horizontal="right" vertical="center"/>
    </xf>
    <xf numFmtId="168" fontId="39" fillId="13" borderId="23" xfId="3" applyNumberFormat="1" applyFont="1" applyFill="1" applyBorder="1" applyAlignment="1">
      <alignment horizontal="center" vertical="center"/>
    </xf>
    <xf numFmtId="165" fontId="20" fillId="4" borderId="10" xfId="2" applyNumberFormat="1" applyFont="1" applyFill="1" applyBorder="1" applyAlignment="1">
      <alignment horizontal="center" vertical="center"/>
    </xf>
    <xf numFmtId="0" fontId="19" fillId="4" borderId="10" xfId="2" applyFont="1" applyFill="1" applyBorder="1" applyAlignment="1">
      <alignment horizontal="right" vertical="center"/>
    </xf>
    <xf numFmtId="165" fontId="20" fillId="4" borderId="2" xfId="2" applyNumberFormat="1" applyFont="1" applyFill="1" applyBorder="1" applyAlignment="1">
      <alignment horizontal="center" vertical="center"/>
    </xf>
    <xf numFmtId="0" fontId="19" fillId="4" borderId="3" xfId="2" applyFont="1" applyFill="1" applyBorder="1" applyAlignment="1">
      <alignment horizontal="right" vertical="center"/>
    </xf>
    <xf numFmtId="165" fontId="44" fillId="5" borderId="30" xfId="3" applyNumberFormat="1" applyFont="1" applyFill="1" applyBorder="1" applyAlignment="1">
      <alignment horizontal="center" vertical="center"/>
    </xf>
    <xf numFmtId="166" fontId="44" fillId="5" borderId="30" xfId="3" applyNumberFormat="1" applyFont="1" applyFill="1" applyBorder="1" applyAlignment="1">
      <alignment horizontal="center" vertical="center"/>
    </xf>
    <xf numFmtId="165" fontId="44" fillId="3" borderId="33" xfId="3" applyNumberFormat="1" applyFont="1" applyFill="1" applyBorder="1" applyAlignment="1">
      <alignment horizontal="center" vertical="center"/>
    </xf>
    <xf numFmtId="166" fontId="44" fillId="3" borderId="33" xfId="3" applyNumberFormat="1" applyFont="1" applyFill="1" applyBorder="1" applyAlignment="1">
      <alignment horizontal="center" vertical="center"/>
    </xf>
    <xf numFmtId="9" fontId="56" fillId="14" borderId="39" xfId="4" applyFont="1" applyFill="1" applyBorder="1" applyAlignment="1">
      <alignment horizontal="center" vertical="center"/>
    </xf>
    <xf numFmtId="9" fontId="56" fillId="13" borderId="39" xfId="4" applyFont="1" applyFill="1" applyBorder="1" applyAlignment="1">
      <alignment horizontal="center" vertical="center"/>
    </xf>
    <xf numFmtId="0" fontId="33" fillId="3" borderId="39" xfId="2" applyNumberFormat="1" applyFont="1" applyFill="1" applyBorder="1" applyAlignment="1">
      <alignment vertical="center" wrapText="1"/>
    </xf>
    <xf numFmtId="0" fontId="9" fillId="3" borderId="39" xfId="2" applyNumberFormat="1" applyFont="1" applyFill="1" applyBorder="1" applyAlignment="1">
      <alignment vertical="center"/>
    </xf>
    <xf numFmtId="0" fontId="41" fillId="0" borderId="31" xfId="0" applyFont="1" applyFill="1" applyBorder="1" applyAlignment="1">
      <alignment horizontal="left" vertical="center"/>
    </xf>
    <xf numFmtId="0" fontId="41" fillId="0" borderId="32" xfId="0" applyFont="1" applyFill="1" applyBorder="1" applyAlignment="1">
      <alignment horizontal="left" vertical="center"/>
    </xf>
    <xf numFmtId="165" fontId="54" fillId="0" borderId="0" xfId="2" applyNumberFormat="1" applyFont="1" applyBorder="1" applyAlignment="1">
      <alignment horizontal="center" vertical="center"/>
    </xf>
    <xf numFmtId="165" fontId="4" fillId="0" borderId="0" xfId="2" applyNumberFormat="1" applyFont="1" applyBorder="1" applyAlignment="1">
      <alignment horizontal="center" vertical="center"/>
    </xf>
    <xf numFmtId="166" fontId="15" fillId="0" borderId="5" xfId="2" applyNumberFormat="1" applyFont="1" applyBorder="1" applyAlignment="1">
      <alignment horizontal="right" vertical="center"/>
    </xf>
    <xf numFmtId="0" fontId="45" fillId="0" borderId="29" xfId="3" applyFont="1" applyBorder="1" applyAlignment="1">
      <alignment horizontal="left" vertical="center"/>
    </xf>
    <xf numFmtId="0" fontId="45" fillId="0" borderId="15" xfId="3" applyFont="1" applyBorder="1" applyAlignment="1">
      <alignment horizontal="left" vertical="center"/>
    </xf>
    <xf numFmtId="168" fontId="19" fillId="4" borderId="42" xfId="2" applyNumberFormat="1" applyFont="1" applyFill="1" applyBorder="1" applyAlignment="1">
      <alignment horizontal="center" vertical="center"/>
    </xf>
    <xf numFmtId="10" fontId="8" fillId="11" borderId="0" xfId="2" applyNumberFormat="1" applyFont="1" applyFill="1" applyBorder="1" applyAlignment="1">
      <alignment vertical="center"/>
    </xf>
    <xf numFmtId="164" fontId="8" fillId="11" borderId="0" xfId="2" applyNumberFormat="1" applyFont="1" applyFill="1" applyBorder="1" applyAlignment="1">
      <alignment vertical="center"/>
    </xf>
    <xf numFmtId="164" fontId="8" fillId="11" borderId="0" xfId="2" applyNumberFormat="1" applyFont="1" applyFill="1" applyBorder="1" applyAlignment="1">
      <alignment horizontal="center" vertical="center"/>
    </xf>
    <xf numFmtId="9" fontId="19" fillId="11" borderId="0" xfId="2" applyNumberFormat="1" applyFont="1" applyFill="1" applyBorder="1" applyAlignment="1">
      <alignment horizontal="center" vertical="center"/>
    </xf>
    <xf numFmtId="0" fontId="24" fillId="11" borderId="0" xfId="2" applyFont="1" applyFill="1" applyBorder="1" applyAlignment="1">
      <alignment horizontal="left" vertical="center"/>
    </xf>
    <xf numFmtId="0" fontId="24" fillId="11" borderId="0" xfId="2" applyFont="1" applyFill="1" applyBorder="1" applyAlignment="1">
      <alignment horizontal="center" vertical="center"/>
    </xf>
    <xf numFmtId="0" fontId="9" fillId="11" borderId="0" xfId="2" applyFont="1" applyFill="1" applyBorder="1" applyAlignment="1">
      <alignment vertical="center"/>
    </xf>
    <xf numFmtId="0" fontId="9" fillId="11" borderId="0" xfId="2" applyFont="1" applyFill="1" applyBorder="1" applyAlignment="1">
      <alignment horizontal="center" vertical="center"/>
    </xf>
    <xf numFmtId="0" fontId="26" fillId="11" borderId="4" xfId="2" applyFont="1" applyFill="1" applyBorder="1" applyAlignment="1">
      <alignment horizontal="left" vertical="center"/>
    </xf>
    <xf numFmtId="164" fontId="27" fillId="11" borderId="0" xfId="2" applyNumberFormat="1" applyFont="1" applyFill="1" applyBorder="1" applyAlignment="1">
      <alignment vertical="center"/>
    </xf>
    <xf numFmtId="164" fontId="27" fillId="11" borderId="0" xfId="2" applyNumberFormat="1" applyFont="1" applyFill="1" applyBorder="1" applyAlignment="1">
      <alignment horizontal="center" vertical="center"/>
    </xf>
    <xf numFmtId="164" fontId="8" fillId="11" borderId="27" xfId="2" applyNumberFormat="1" applyFont="1" applyFill="1" applyBorder="1" applyAlignment="1">
      <alignment vertical="center"/>
    </xf>
    <xf numFmtId="164" fontId="8" fillId="11" borderId="27" xfId="2" applyNumberFormat="1" applyFont="1" applyFill="1" applyBorder="1" applyAlignment="1">
      <alignment horizontal="center" vertical="center"/>
    </xf>
    <xf numFmtId="0" fontId="40" fillId="0" borderId="11" xfId="0" applyFont="1" applyFill="1" applyBorder="1" applyAlignment="1">
      <alignment horizontal="left" vertical="center"/>
    </xf>
    <xf numFmtId="0" fontId="22" fillId="0" borderId="31" xfId="2" applyFont="1" applyBorder="1" applyAlignment="1">
      <alignment horizontal="left" vertical="center"/>
    </xf>
    <xf numFmtId="10" fontId="8" fillId="11" borderId="0" xfId="2" applyNumberFormat="1" applyFont="1" applyFill="1" applyBorder="1" applyAlignment="1">
      <alignment horizontal="left" vertical="center"/>
    </xf>
    <xf numFmtId="164" fontId="8" fillId="11" borderId="0" xfId="2" applyNumberFormat="1" applyFont="1" applyFill="1" applyBorder="1" applyAlignment="1">
      <alignment horizontal="left" vertical="center"/>
    </xf>
    <xf numFmtId="9" fontId="19" fillId="11" borderId="0" xfId="2" applyNumberFormat="1" applyFont="1" applyFill="1" applyBorder="1" applyAlignment="1">
      <alignment horizontal="left" vertical="center"/>
    </xf>
    <xf numFmtId="0" fontId="9" fillId="11" borderId="0" xfId="2" applyFont="1" applyFill="1" applyBorder="1" applyAlignment="1">
      <alignment horizontal="left" vertical="center"/>
    </xf>
    <xf numFmtId="164" fontId="27" fillId="11" borderId="0" xfId="2" applyNumberFormat="1" applyFont="1" applyFill="1" applyBorder="1" applyAlignment="1">
      <alignment horizontal="left" vertical="center"/>
    </xf>
    <xf numFmtId="164" fontId="8" fillId="11" borderId="27" xfId="2" applyNumberFormat="1" applyFont="1" applyFill="1" applyBorder="1" applyAlignment="1">
      <alignment horizontal="left" vertical="center"/>
    </xf>
    <xf numFmtId="0" fontId="10" fillId="3" borderId="43" xfId="0" applyFont="1" applyFill="1" applyBorder="1" applyAlignment="1">
      <alignment vertical="center"/>
    </xf>
    <xf numFmtId="0" fontId="10" fillId="3" borderId="43" xfId="2" applyFont="1" applyFill="1" applyBorder="1" applyAlignment="1">
      <alignment vertical="center"/>
    </xf>
    <xf numFmtId="169" fontId="35" fillId="0" borderId="8" xfId="3" applyNumberFormat="1" applyFont="1" applyFill="1" applyBorder="1" applyAlignment="1">
      <alignment horizontal="left" vertical="center"/>
    </xf>
    <xf numFmtId="0" fontId="35" fillId="0" borderId="9" xfId="3" applyFont="1" applyBorder="1" applyAlignment="1">
      <alignment horizontal="left" vertical="center"/>
    </xf>
    <xf numFmtId="0" fontId="4" fillId="0" borderId="4" xfId="2" applyFont="1" applyBorder="1" applyAlignment="1">
      <alignment horizontal="left" vertical="center"/>
    </xf>
    <xf numFmtId="0" fontId="44" fillId="3" borderId="40" xfId="3" applyFont="1" applyFill="1" applyBorder="1" applyAlignment="1">
      <alignment horizontal="left" vertical="center"/>
    </xf>
    <xf numFmtId="0" fontId="44" fillId="3" borderId="31" xfId="3" applyFont="1" applyFill="1" applyBorder="1" applyAlignment="1">
      <alignment horizontal="left" vertical="center"/>
    </xf>
    <xf numFmtId="0" fontId="40" fillId="0" borderId="31" xfId="0" applyFont="1" applyFill="1" applyBorder="1" applyAlignment="1">
      <alignment horizontal="left" vertical="center" wrapText="1"/>
    </xf>
    <xf numFmtId="0" fontId="40" fillId="0" borderId="13" xfId="0" applyFont="1" applyFill="1" applyBorder="1" applyAlignment="1">
      <alignment horizontal="left" vertical="center" wrapText="1"/>
    </xf>
    <xf numFmtId="0" fontId="41" fillId="0" borderId="13" xfId="0" applyFont="1" applyFill="1" applyBorder="1" applyAlignment="1">
      <alignment horizontal="left" vertical="center"/>
    </xf>
    <xf numFmtId="0" fontId="17" fillId="0" borderId="24" xfId="0" applyFont="1" applyBorder="1" applyAlignment="1">
      <alignment horizontal="left" vertical="center"/>
    </xf>
    <xf numFmtId="0" fontId="9" fillId="2" borderId="21" xfId="2" applyFont="1" applyFill="1" applyBorder="1" applyAlignment="1">
      <alignment horizontal="left" vertical="center"/>
    </xf>
    <xf numFmtId="0" fontId="9" fillId="2" borderId="22" xfId="2" applyFont="1" applyFill="1" applyBorder="1" applyAlignment="1">
      <alignment horizontal="left" vertical="center"/>
    </xf>
    <xf numFmtId="0" fontId="9" fillId="14" borderId="22" xfId="2" applyFont="1" applyFill="1" applyBorder="1" applyAlignment="1">
      <alignment horizontal="left" vertical="center"/>
    </xf>
    <xf numFmtId="0" fontId="8" fillId="3" borderId="4" xfId="2" applyFont="1" applyFill="1" applyBorder="1" applyAlignment="1">
      <alignment horizontal="left" vertical="center"/>
    </xf>
    <xf numFmtId="0" fontId="22" fillId="0" borderId="13" xfId="2" applyFont="1" applyFill="1" applyBorder="1" applyAlignment="1">
      <alignment horizontal="left" vertical="center" wrapText="1"/>
    </xf>
    <xf numFmtId="0" fontId="29" fillId="14" borderId="22" xfId="3" applyFont="1" applyFill="1" applyBorder="1" applyAlignment="1">
      <alignment horizontal="left" vertical="center"/>
    </xf>
    <xf numFmtId="0" fontId="44" fillId="3" borderId="29" xfId="3" applyFont="1" applyFill="1" applyBorder="1" applyAlignment="1">
      <alignment horizontal="left" vertical="center"/>
    </xf>
    <xf numFmtId="0" fontId="41" fillId="0" borderId="30" xfId="0" applyFont="1" applyFill="1" applyBorder="1" applyAlignment="1">
      <alignment horizontal="left" vertical="center" wrapText="1"/>
    </xf>
    <xf numFmtId="0" fontId="29" fillId="0" borderId="20" xfId="3" applyFont="1" applyBorder="1" applyAlignment="1">
      <alignment horizontal="left" vertical="center"/>
    </xf>
    <xf numFmtId="0" fontId="22" fillId="0" borderId="20" xfId="2" applyFont="1" applyFill="1" applyBorder="1" applyAlignment="1">
      <alignment horizontal="left" vertical="center"/>
    </xf>
    <xf numFmtId="0" fontId="61" fillId="14" borderId="22" xfId="3" applyFont="1" applyFill="1" applyBorder="1" applyAlignment="1">
      <alignment horizontal="left" vertical="center"/>
    </xf>
    <xf numFmtId="0" fontId="44" fillId="3" borderId="15" xfId="3" applyFont="1" applyFill="1" applyBorder="1" applyAlignment="1">
      <alignment horizontal="left" vertical="center"/>
    </xf>
    <xf numFmtId="0" fontId="23" fillId="0" borderId="13" xfId="2" applyFont="1" applyBorder="1" applyAlignment="1">
      <alignment horizontal="left" vertical="center"/>
    </xf>
    <xf numFmtId="0" fontId="22" fillId="0" borderId="13" xfId="2" applyFont="1" applyBorder="1" applyAlignment="1">
      <alignment horizontal="left" vertical="center"/>
    </xf>
    <xf numFmtId="0" fontId="9" fillId="0" borderId="0" xfId="2" applyFont="1" applyFill="1" applyBorder="1" applyAlignment="1">
      <alignment horizontal="left" vertical="center"/>
    </xf>
    <xf numFmtId="0" fontId="8" fillId="3" borderId="15" xfId="2" applyFont="1" applyFill="1" applyBorder="1" applyAlignment="1">
      <alignment horizontal="left" vertical="center"/>
    </xf>
    <xf numFmtId="0" fontId="9" fillId="2" borderId="4" xfId="2" applyFont="1" applyFill="1" applyBorder="1" applyAlignment="1">
      <alignment horizontal="left" vertical="center"/>
    </xf>
    <xf numFmtId="0" fontId="9" fillId="2" borderId="0" xfId="2" applyFont="1" applyFill="1" applyBorder="1" applyAlignment="1">
      <alignment horizontal="left" vertical="center"/>
    </xf>
    <xf numFmtId="0" fontId="9" fillId="2" borderId="41" xfId="2" applyFont="1" applyFill="1" applyBorder="1" applyAlignment="1">
      <alignment horizontal="left" vertical="center"/>
    </xf>
    <xf numFmtId="0" fontId="9" fillId="2" borderId="9" xfId="2" applyFont="1" applyFill="1" applyBorder="1" applyAlignment="1">
      <alignment horizontal="left" vertical="center"/>
    </xf>
    <xf numFmtId="0" fontId="49" fillId="0" borderId="13" xfId="3" applyFont="1" applyBorder="1" applyAlignment="1">
      <alignment horizontal="left" vertical="center"/>
    </xf>
    <xf numFmtId="0" fontId="49" fillId="0" borderId="20" xfId="3" applyFont="1" applyBorder="1" applyAlignment="1">
      <alignment horizontal="left" vertical="center"/>
    </xf>
    <xf numFmtId="0" fontId="18" fillId="0" borderId="20" xfId="2" applyFont="1" applyBorder="1" applyAlignment="1">
      <alignment horizontal="left" vertical="center"/>
    </xf>
    <xf numFmtId="0" fontId="8" fillId="2" borderId="1" xfId="2" applyFont="1" applyFill="1" applyBorder="1" applyAlignment="1">
      <alignment horizontal="left" vertical="center"/>
    </xf>
    <xf numFmtId="10" fontId="8" fillId="11" borderId="4" xfId="2" applyNumberFormat="1" applyFont="1" applyFill="1" applyBorder="1" applyAlignment="1">
      <alignment horizontal="left" vertical="center"/>
    </xf>
    <xf numFmtId="164" fontId="8" fillId="11" borderId="4" xfId="2" applyNumberFormat="1" applyFont="1" applyFill="1" applyBorder="1" applyAlignment="1">
      <alignment horizontal="left" vertical="center"/>
    </xf>
    <xf numFmtId="9" fontId="19" fillId="11" borderId="4" xfId="2" applyNumberFormat="1" applyFont="1" applyFill="1" applyBorder="1" applyAlignment="1">
      <alignment horizontal="left" vertical="center"/>
    </xf>
    <xf numFmtId="0" fontId="9" fillId="11" borderId="4" xfId="2" applyFont="1" applyFill="1" applyBorder="1" applyAlignment="1">
      <alignment horizontal="left" vertical="center"/>
    </xf>
    <xf numFmtId="164" fontId="8" fillId="11" borderId="26" xfId="2" applyNumberFormat="1" applyFont="1" applyFill="1" applyBorder="1" applyAlignment="1">
      <alignment horizontal="left" vertical="center"/>
    </xf>
    <xf numFmtId="181" fontId="57" fillId="13" borderId="2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44" fillId="3" borderId="33" xfId="3" applyFont="1" applyFill="1" applyBorder="1" applyAlignment="1">
      <alignment horizontal="left" vertical="center"/>
    </xf>
    <xf numFmtId="0" fontId="8" fillId="3" borderId="36" xfId="2" applyFont="1" applyFill="1" applyBorder="1" applyAlignment="1">
      <alignment horizontal="left" vertical="center"/>
    </xf>
    <xf numFmtId="0" fontId="0" fillId="0" borderId="13" xfId="0" applyFill="1" applyBorder="1" applyAlignment="1">
      <alignment wrapText="1"/>
    </xf>
    <xf numFmtId="0" fontId="63" fillId="0" borderId="29" xfId="2" applyFont="1" applyFill="1" applyBorder="1" applyAlignment="1" applyProtection="1">
      <alignment horizontal="left" vertical="center"/>
    </xf>
    <xf numFmtId="0" fontId="63" fillId="0" borderId="24" xfId="2" applyFont="1" applyFill="1" applyBorder="1" applyAlignment="1" applyProtection="1">
      <alignment horizontal="left" vertical="center"/>
    </xf>
    <xf numFmtId="0" fontId="64" fillId="0" borderId="8" xfId="3" applyFont="1" applyBorder="1" applyAlignment="1" applyProtection="1">
      <alignment horizontal="left" vertical="center"/>
    </xf>
    <xf numFmtId="0" fontId="65" fillId="0" borderId="13" xfId="0" applyFont="1" applyBorder="1" applyAlignment="1" applyProtection="1">
      <alignment vertical="top"/>
    </xf>
    <xf numFmtId="0" fontId="64" fillId="0" borderId="15" xfId="3" applyFont="1" applyBorder="1" applyAlignment="1" applyProtection="1">
      <alignment horizontal="left" vertical="center"/>
    </xf>
    <xf numFmtId="0" fontId="64" fillId="0" borderId="10" xfId="3" applyFont="1" applyBorder="1" applyAlignment="1" applyProtection="1">
      <alignment horizontal="left" vertical="center"/>
    </xf>
    <xf numFmtId="0" fontId="66" fillId="0" borderId="11" xfId="0" applyFont="1" applyFill="1" applyBorder="1" applyAlignment="1" applyProtection="1">
      <alignment vertical="center"/>
    </xf>
    <xf numFmtId="0" fontId="66" fillId="0" borderId="9" xfId="0" applyFont="1" applyFill="1" applyBorder="1" applyAlignment="1" applyProtection="1">
      <alignment horizontal="center" vertical="center" wrapText="1"/>
    </xf>
    <xf numFmtId="0" fontId="67" fillId="0" borderId="10" xfId="2" applyFont="1" applyFill="1" applyBorder="1" applyAlignment="1" applyProtection="1">
      <alignment horizontal="center" vertical="center"/>
    </xf>
    <xf numFmtId="0" fontId="66" fillId="0" borderId="13" xfId="0" applyFont="1" applyBorder="1" applyAlignment="1" applyProtection="1">
      <alignment vertical="top"/>
    </xf>
    <xf numFmtId="0" fontId="67" fillId="0" borderId="19" xfId="2" applyFont="1" applyFill="1" applyBorder="1" applyAlignment="1" applyProtection="1">
      <alignment horizontal="left" vertical="center"/>
    </xf>
    <xf numFmtId="0" fontId="63" fillId="0" borderId="20" xfId="2" applyFont="1" applyFill="1" applyBorder="1" applyAlignment="1" applyProtection="1">
      <alignment vertical="center"/>
    </xf>
    <xf numFmtId="0" fontId="67" fillId="0" borderId="24" xfId="2" applyFont="1" applyFill="1" applyBorder="1" applyAlignment="1" applyProtection="1">
      <alignment horizontal="left" vertical="center"/>
    </xf>
    <xf numFmtId="0" fontId="67" fillId="0" borderId="11" xfId="2" applyFont="1" applyFill="1" applyBorder="1" applyAlignment="1" applyProtection="1">
      <alignment horizontal="left" vertical="center"/>
    </xf>
    <xf numFmtId="0" fontId="67" fillId="0" borderId="12" xfId="2" applyFont="1" applyFill="1" applyBorder="1" applyAlignment="1" applyProtection="1">
      <alignment horizontal="left" vertical="center"/>
    </xf>
    <xf numFmtId="0" fontId="64" fillId="0" borderId="13" xfId="3" applyFont="1" applyBorder="1" applyAlignment="1" applyProtection="1">
      <alignment vertical="center"/>
    </xf>
    <xf numFmtId="0" fontId="53" fillId="0" borderId="11" xfId="3" applyFont="1" applyBorder="1" applyAlignment="1" applyProtection="1">
      <alignment horizontal="left" vertical="center"/>
    </xf>
    <xf numFmtId="0" fontId="53" fillId="0" borderId="9" xfId="3" applyFont="1" applyBorder="1" applyAlignment="1" applyProtection="1">
      <alignment vertical="center"/>
    </xf>
    <xf numFmtId="178" fontId="53" fillId="0" borderId="11" xfId="3" applyNumberFormat="1" applyFont="1" applyBorder="1" applyAlignment="1" applyProtection="1">
      <alignment vertical="center"/>
    </xf>
    <xf numFmtId="0" fontId="53" fillId="0" borderId="12" xfId="3" applyFont="1" applyBorder="1" applyAlignment="1" applyProtection="1">
      <alignment vertical="center"/>
    </xf>
    <xf numFmtId="0" fontId="64" fillId="0" borderId="13" xfId="3" applyNumberFormat="1" applyFont="1" applyBorder="1" applyAlignment="1" applyProtection="1">
      <alignment horizontal="center" vertical="center"/>
    </xf>
    <xf numFmtId="0" fontId="70" fillId="0" borderId="11" xfId="3" applyFont="1" applyBorder="1" applyAlignment="1" applyProtection="1">
      <alignment horizontal="left" vertical="center"/>
    </xf>
    <xf numFmtId="0" fontId="70" fillId="0" borderId="9" xfId="3" applyFont="1" applyBorder="1" applyAlignment="1" applyProtection="1">
      <alignment vertical="center"/>
    </xf>
    <xf numFmtId="178" fontId="70" fillId="0" borderId="11" xfId="3" applyNumberFormat="1" applyFont="1" applyBorder="1" applyAlignment="1" applyProtection="1">
      <alignment vertical="center"/>
    </xf>
    <xf numFmtId="0" fontId="70" fillId="0" borderId="12" xfId="3" applyFont="1" applyBorder="1" applyAlignment="1" applyProtection="1">
      <alignment vertical="center"/>
    </xf>
    <xf numFmtId="0" fontId="64" fillId="0" borderId="13" xfId="3" applyNumberFormat="1" applyFont="1" applyFill="1" applyBorder="1" applyAlignment="1" applyProtection="1">
      <alignment horizontal="center" vertical="center"/>
    </xf>
    <xf numFmtId="178" fontId="70" fillId="0" borderId="12" xfId="3" applyNumberFormat="1" applyFont="1" applyBorder="1" applyAlignment="1" applyProtection="1">
      <alignment vertical="center"/>
    </xf>
    <xf numFmtId="170" fontId="64" fillId="0" borderId="13" xfId="3" applyNumberFormat="1" applyFont="1" applyFill="1" applyBorder="1" applyAlignment="1" applyProtection="1">
      <alignment horizontal="center" vertical="center"/>
    </xf>
    <xf numFmtId="0" fontId="63" fillId="0" borderId="31" xfId="3" applyFont="1" applyBorder="1" applyAlignment="1" applyProtection="1">
      <alignment horizontal="left" vertical="center"/>
    </xf>
    <xf numFmtId="0" fontId="64" fillId="0" borderId="15" xfId="3" applyFont="1" applyBorder="1" applyAlignment="1">
      <alignment horizontal="left" vertical="center"/>
    </xf>
    <xf numFmtId="169" fontId="72" fillId="0" borderId="8" xfId="3" applyNumberFormat="1" applyFont="1" applyFill="1" applyBorder="1" applyAlignment="1">
      <alignment horizontal="left" vertical="center"/>
    </xf>
    <xf numFmtId="0" fontId="73" fillId="0" borderId="9" xfId="3" applyFont="1" applyBorder="1" applyAlignment="1">
      <alignment horizontal="left" vertical="center"/>
    </xf>
    <xf numFmtId="0" fontId="72" fillId="0" borderId="8" xfId="3" applyNumberFormat="1" applyFont="1" applyFill="1" applyBorder="1" applyAlignment="1">
      <alignment horizontal="left" vertical="center"/>
    </xf>
    <xf numFmtId="172" fontId="72" fillId="0" borderId="8" xfId="3" applyNumberFormat="1" applyFont="1" applyBorder="1" applyAlignment="1">
      <alignment horizontal="left" vertical="center"/>
    </xf>
    <xf numFmtId="0" fontId="22" fillId="0" borderId="10" xfId="2" applyFont="1" applyFill="1" applyBorder="1" applyAlignment="1" applyProtection="1">
      <alignment horizontal="center" vertical="center"/>
    </xf>
    <xf numFmtId="0" fontId="74" fillId="0" borderId="13" xfId="0" applyFont="1" applyFill="1" applyBorder="1" applyAlignment="1">
      <alignment horizontal="left" vertical="center" wrapText="1"/>
    </xf>
    <xf numFmtId="0" fontId="64" fillId="0" borderId="9" xfId="3" applyFont="1" applyBorder="1" applyAlignment="1">
      <alignment vertical="center" wrapText="1"/>
    </xf>
    <xf numFmtId="0" fontId="64" fillId="0" borderId="9" xfId="3" applyFont="1" applyBorder="1" applyAlignment="1">
      <alignment vertical="center"/>
    </xf>
    <xf numFmtId="0" fontId="64" fillId="0" borderId="13" xfId="3" applyFont="1" applyBorder="1" applyAlignment="1">
      <alignment horizontal="left" vertical="center"/>
    </xf>
    <xf numFmtId="0" fontId="64" fillId="0" borderId="11" xfId="3" applyFont="1" applyBorder="1" applyAlignment="1">
      <alignment horizontal="left" vertical="center"/>
    </xf>
    <xf numFmtId="0" fontId="63" fillId="0" borderId="15" xfId="2" applyFont="1" applyBorder="1" applyAlignment="1">
      <alignment horizontal="left" vertical="center"/>
    </xf>
    <xf numFmtId="0" fontId="63" fillId="0" borderId="13" xfId="2" applyFont="1" applyBorder="1" applyAlignment="1">
      <alignment horizontal="left" vertical="center"/>
    </xf>
    <xf numFmtId="0" fontId="63" fillId="0" borderId="11" xfId="2" applyFont="1" applyBorder="1" applyAlignment="1">
      <alignment horizontal="left" vertical="center" wrapText="1"/>
    </xf>
    <xf numFmtId="0" fontId="63" fillId="0" borderId="9" xfId="2" applyFont="1" applyBorder="1" applyAlignment="1">
      <alignment vertical="center" wrapText="1"/>
    </xf>
    <xf numFmtId="0" fontId="66" fillId="0" borderId="13" xfId="0" applyFont="1" applyFill="1" applyBorder="1" applyAlignment="1">
      <alignment horizontal="left" vertical="center" wrapText="1"/>
    </xf>
    <xf numFmtId="0" fontId="64" fillId="0" borderId="29" xfId="3" applyFont="1" applyFill="1" applyBorder="1" applyAlignment="1">
      <alignment horizontal="left" vertical="center"/>
    </xf>
    <xf numFmtId="179" fontId="66" fillId="0" borderId="31" xfId="0" applyNumberFormat="1" applyFont="1" applyFill="1" applyBorder="1" applyAlignment="1">
      <alignment horizontal="left" vertical="center"/>
    </xf>
    <xf numFmtId="0" fontId="71" fillId="0" borderId="32" xfId="3" applyFont="1" applyFill="1" applyBorder="1" applyAlignment="1">
      <alignment vertical="center" wrapText="1"/>
    </xf>
    <xf numFmtId="0" fontId="53" fillId="0" borderId="33" xfId="3" applyNumberFormat="1" applyFont="1" applyFill="1" applyBorder="1" applyAlignment="1">
      <alignment horizontal="center" vertical="center"/>
    </xf>
    <xf numFmtId="0" fontId="64" fillId="0" borderId="29" xfId="3" applyFont="1" applyFill="1" applyBorder="1" applyAlignment="1">
      <alignment horizontal="left" vertical="center" wrapText="1"/>
    </xf>
    <xf numFmtId="0" fontId="53" fillId="0" borderId="15" xfId="3" applyFont="1" applyFill="1" applyBorder="1" applyAlignment="1">
      <alignment horizontal="left" vertical="center"/>
    </xf>
    <xf numFmtId="179" fontId="76" fillId="0" borderId="31" xfId="0" applyNumberFormat="1" applyFont="1" applyFill="1" applyBorder="1" applyAlignment="1">
      <alignment horizontal="left" vertical="center"/>
    </xf>
    <xf numFmtId="0" fontId="76" fillId="0" borderId="13" xfId="0" applyFont="1" applyFill="1" applyBorder="1" applyAlignment="1">
      <alignment vertical="center"/>
    </xf>
    <xf numFmtId="0" fontId="53" fillId="0" borderId="13" xfId="3" applyNumberFormat="1" applyFont="1" applyFill="1" applyBorder="1" applyAlignment="1">
      <alignment horizontal="center" vertical="center"/>
    </xf>
    <xf numFmtId="0" fontId="76" fillId="0" borderId="13" xfId="0" applyNumberFormat="1" applyFont="1" applyFill="1" applyBorder="1" applyAlignment="1">
      <alignment horizontal="right" vertical="center"/>
    </xf>
    <xf numFmtId="180" fontId="76" fillId="0" borderId="13" xfId="0" applyNumberFormat="1" applyFont="1" applyFill="1" applyBorder="1" applyAlignment="1">
      <alignment horizontal="right" vertical="center"/>
    </xf>
    <xf numFmtId="0" fontId="74" fillId="0" borderId="13" xfId="0" applyFont="1" applyFill="1" applyBorder="1" applyAlignment="1">
      <alignment horizontal="left" vertical="center"/>
    </xf>
    <xf numFmtId="0" fontId="53" fillId="0" borderId="11" xfId="3" applyFont="1" applyFill="1" applyBorder="1" applyAlignment="1">
      <alignment horizontal="left" vertical="center"/>
    </xf>
    <xf numFmtId="0" fontId="53" fillId="0" borderId="12" xfId="3" applyFont="1" applyFill="1" applyBorder="1" applyAlignment="1">
      <alignment vertical="center"/>
    </xf>
    <xf numFmtId="0" fontId="74" fillId="0" borderId="13" xfId="0" applyFont="1" applyFill="1" applyBorder="1" applyAlignment="1">
      <alignment vertical="center"/>
    </xf>
    <xf numFmtId="0" fontId="74" fillId="0" borderId="20" xfId="0" applyFont="1" applyFill="1" applyBorder="1" applyAlignment="1">
      <alignment horizontal="left" vertical="center"/>
    </xf>
    <xf numFmtId="0" fontId="74" fillId="0" borderId="20" xfId="0" applyFont="1" applyFill="1" applyBorder="1" applyAlignment="1">
      <alignment vertical="center"/>
    </xf>
    <xf numFmtId="180" fontId="66" fillId="0" borderId="33" xfId="0" applyNumberFormat="1" applyFont="1" applyFill="1" applyBorder="1" applyAlignment="1">
      <alignment horizontal="right" vertical="center"/>
    </xf>
    <xf numFmtId="180" fontId="66" fillId="0" borderId="33" xfId="0" applyNumberFormat="1" applyFont="1" applyFill="1" applyBorder="1" applyAlignment="1" applyProtection="1">
      <alignment horizontal="right" vertical="center"/>
    </xf>
    <xf numFmtId="0" fontId="63" fillId="16" borderId="20" xfId="2" applyFont="1" applyFill="1" applyBorder="1" applyAlignment="1" applyProtection="1">
      <alignment vertical="center"/>
    </xf>
    <xf numFmtId="170" fontId="63" fillId="0" borderId="13" xfId="2" applyNumberFormat="1" applyFont="1" applyFill="1" applyBorder="1" applyAlignment="1">
      <alignment horizontal="center" vertical="center"/>
    </xf>
    <xf numFmtId="0" fontId="66" fillId="0" borderId="33" xfId="0" applyNumberFormat="1" applyFont="1" applyFill="1" applyBorder="1" applyAlignment="1">
      <alignment horizontal="center" vertical="center"/>
    </xf>
    <xf numFmtId="175" fontId="64" fillId="0" borderId="33" xfId="3" applyNumberFormat="1" applyFont="1" applyFill="1" applyBorder="1" applyAlignment="1">
      <alignment horizontal="center" vertical="center"/>
    </xf>
    <xf numFmtId="175" fontId="64" fillId="0" borderId="33" xfId="3" applyNumberFormat="1" applyFont="1" applyBorder="1" applyAlignment="1">
      <alignment horizontal="center" vertical="center"/>
    </xf>
    <xf numFmtId="168" fontId="64" fillId="0" borderId="34" xfId="3" applyNumberFormat="1" applyFont="1" applyFill="1" applyBorder="1" applyAlignment="1">
      <alignment horizontal="center" vertical="center"/>
    </xf>
    <xf numFmtId="177" fontId="55" fillId="11" borderId="14" xfId="2" applyNumberFormat="1" applyFont="1" applyFill="1" applyBorder="1" applyAlignment="1">
      <alignment horizontal="center" vertical="center"/>
    </xf>
    <xf numFmtId="4" fontId="68" fillId="0" borderId="13" xfId="2" applyNumberFormat="1" applyFont="1" applyFill="1" applyBorder="1" applyAlignment="1">
      <alignment horizontal="center" vertical="center"/>
    </xf>
    <xf numFmtId="168" fontId="64" fillId="0" borderId="14" xfId="3" applyNumberFormat="1" applyFont="1" applyFill="1" applyBorder="1" applyAlignment="1">
      <alignment horizontal="center" vertical="center"/>
    </xf>
    <xf numFmtId="175" fontId="64" fillId="0" borderId="13" xfId="3" applyNumberFormat="1" applyFont="1" applyFill="1" applyBorder="1" applyAlignment="1">
      <alignment horizontal="center" vertical="center"/>
    </xf>
    <xf numFmtId="175" fontId="64" fillId="0" borderId="13" xfId="3" applyNumberFormat="1" applyFont="1" applyBorder="1" applyAlignment="1">
      <alignment horizontal="center" vertical="center"/>
    </xf>
    <xf numFmtId="181" fontId="76" fillId="0" borderId="33" xfId="0" applyNumberFormat="1" applyFont="1" applyFill="1" applyBorder="1" applyAlignment="1">
      <alignment horizontal="right" vertical="center"/>
    </xf>
    <xf numFmtId="181" fontId="76" fillId="0" borderId="13" xfId="0" applyNumberFormat="1" applyFont="1" applyFill="1" applyBorder="1" applyAlignment="1">
      <alignment horizontal="right" vertical="center"/>
    </xf>
    <xf numFmtId="182" fontId="76" fillId="0" borderId="13" xfId="0" applyNumberFormat="1" applyFont="1" applyFill="1" applyBorder="1" applyAlignment="1">
      <alignment horizontal="right" vertical="center"/>
    </xf>
    <xf numFmtId="182" fontId="76" fillId="0" borderId="13" xfId="0" applyNumberFormat="1" applyFont="1" applyFill="1" applyBorder="1" applyAlignment="1">
      <alignment horizontal="center" vertical="center"/>
    </xf>
    <xf numFmtId="170" fontId="64" fillId="0" borderId="13" xfId="3" applyNumberFormat="1" applyFont="1" applyFill="1" applyBorder="1" applyAlignment="1">
      <alignment horizontal="center" vertical="center"/>
    </xf>
    <xf numFmtId="170" fontId="67" fillId="0" borderId="13" xfId="2" applyNumberFormat="1" applyFont="1" applyFill="1" applyBorder="1" applyAlignment="1">
      <alignment horizontal="center" vertical="center"/>
    </xf>
    <xf numFmtId="0" fontId="63" fillId="0" borderId="44" xfId="2" applyFont="1" applyFill="1" applyBorder="1" applyAlignment="1" applyProtection="1">
      <alignment horizontal="left" vertical="center"/>
    </xf>
    <xf numFmtId="0" fontId="63" fillId="0" borderId="19" xfId="2" applyFont="1" applyFill="1" applyBorder="1" applyAlignment="1" applyProtection="1">
      <alignment horizontal="left" vertical="center"/>
    </xf>
    <xf numFmtId="181" fontId="78" fillId="13" borderId="22" xfId="0" applyNumberFormat="1" applyFont="1" applyFill="1" applyBorder="1" applyAlignment="1">
      <alignment horizontal="center" vertical="center"/>
    </xf>
    <xf numFmtId="168" fontId="79" fillId="13" borderId="23" xfId="3" applyNumberFormat="1" applyFont="1" applyFill="1" applyBorder="1" applyAlignment="1">
      <alignment horizontal="center" vertical="center"/>
    </xf>
    <xf numFmtId="0" fontId="61" fillId="14" borderId="21" xfId="3" applyFont="1" applyFill="1" applyBorder="1" applyAlignment="1">
      <alignment horizontal="left" vertical="center"/>
    </xf>
    <xf numFmtId="0" fontId="61" fillId="14" borderId="22" xfId="3" applyFont="1" applyFill="1" applyBorder="1" applyAlignment="1">
      <alignment vertical="center"/>
    </xf>
    <xf numFmtId="0" fontId="61" fillId="14" borderId="22" xfId="3" applyFont="1" applyFill="1" applyBorder="1" applyAlignment="1">
      <alignment horizontal="center" vertical="center"/>
    </xf>
    <xf numFmtId="165" fontId="61" fillId="14" borderId="22" xfId="3" applyNumberFormat="1" applyFont="1" applyFill="1" applyBorder="1" applyAlignment="1">
      <alignment horizontal="center" vertical="center"/>
    </xf>
    <xf numFmtId="9" fontId="77" fillId="14" borderId="22" xfId="4" applyFont="1" applyFill="1" applyBorder="1" applyAlignment="1">
      <alignment horizontal="center" vertical="center"/>
    </xf>
    <xf numFmtId="166" fontId="61" fillId="14" borderId="22" xfId="3" applyNumberFormat="1" applyFont="1" applyFill="1" applyBorder="1" applyAlignment="1">
      <alignment horizontal="center" vertical="center"/>
    </xf>
    <xf numFmtId="0" fontId="80" fillId="3" borderId="40" xfId="3" applyFont="1" applyFill="1" applyBorder="1" applyAlignment="1">
      <alignment horizontal="left" vertical="center"/>
    </xf>
    <xf numFmtId="0" fontId="80" fillId="3" borderId="31" xfId="3" applyFont="1" applyFill="1" applyBorder="1" applyAlignment="1">
      <alignment horizontal="left" vertical="center"/>
    </xf>
    <xf numFmtId="0" fontId="80" fillId="5" borderId="31" xfId="3" applyFont="1" applyFill="1" applyBorder="1" applyAlignment="1">
      <alignment horizontal="left" vertical="center"/>
    </xf>
    <xf numFmtId="0" fontId="80" fillId="5" borderId="32" xfId="3" applyFont="1" applyFill="1" applyBorder="1" applyAlignment="1">
      <alignment horizontal="center" vertical="center"/>
    </xf>
    <xf numFmtId="0" fontId="80" fillId="3" borderId="33" xfId="3" applyFont="1" applyFill="1" applyBorder="1" applyAlignment="1">
      <alignment horizontal="left" vertical="center"/>
    </xf>
    <xf numFmtId="0" fontId="80" fillId="5" borderId="33" xfId="3" applyFont="1" applyFill="1" applyBorder="1" applyAlignment="1">
      <alignment horizontal="center" vertical="center"/>
    </xf>
    <xf numFmtId="165" fontId="80" fillId="5" borderId="33" xfId="3" applyNumberFormat="1" applyFont="1" applyFill="1" applyBorder="1" applyAlignment="1">
      <alignment horizontal="center" vertical="center"/>
    </xf>
    <xf numFmtId="165" fontId="80" fillId="5" borderId="30" xfId="3" applyNumberFormat="1" applyFont="1" applyFill="1" applyBorder="1" applyAlignment="1">
      <alignment horizontal="center" vertical="center"/>
    </xf>
    <xf numFmtId="166" fontId="80" fillId="5" borderId="33" xfId="3" applyNumberFormat="1" applyFont="1" applyFill="1" applyBorder="1" applyAlignment="1">
      <alignment horizontal="center" vertical="center"/>
    </xf>
    <xf numFmtId="166" fontId="80" fillId="5" borderId="30" xfId="3" applyNumberFormat="1" applyFont="1" applyFill="1" applyBorder="1" applyAlignment="1">
      <alignment horizontal="center" vertical="center"/>
    </xf>
    <xf numFmtId="168" fontId="80" fillId="5" borderId="34" xfId="3" applyNumberFormat="1" applyFont="1" applyFill="1" applyBorder="1" applyAlignment="1">
      <alignment horizontal="center" vertical="center"/>
    </xf>
    <xf numFmtId="181" fontId="78" fillId="13" borderId="22" xfId="0" applyNumberFormat="1" applyFont="1" applyFill="1" applyBorder="1" applyAlignment="1">
      <alignment horizontal="right" vertical="center"/>
    </xf>
    <xf numFmtId="181" fontId="81" fillId="0" borderId="13" xfId="0" applyNumberFormat="1" applyFont="1" applyFill="1" applyBorder="1" applyAlignment="1">
      <alignment horizontal="right" vertical="center"/>
    </xf>
    <xf numFmtId="0" fontId="83" fillId="0" borderId="13" xfId="3" applyNumberFormat="1" applyFont="1" applyBorder="1" applyAlignment="1">
      <alignment horizontal="center" vertical="center"/>
    </xf>
    <xf numFmtId="175" fontId="83" fillId="0" borderId="13" xfId="3" applyNumberFormat="1" applyFont="1" applyFill="1" applyBorder="1" applyAlignment="1">
      <alignment horizontal="center" vertical="center"/>
    </xf>
    <xf numFmtId="175" fontId="83" fillId="0" borderId="13" xfId="3" applyNumberFormat="1" applyFont="1" applyBorder="1" applyAlignment="1">
      <alignment horizontal="center" vertical="center"/>
    </xf>
    <xf numFmtId="168" fontId="83" fillId="0" borderId="14" xfId="3" applyNumberFormat="1" applyFont="1" applyFill="1" applyBorder="1" applyAlignment="1">
      <alignment horizontal="center" vertical="center"/>
    </xf>
    <xf numFmtId="170" fontId="83" fillId="0" borderId="13" xfId="3" applyNumberFormat="1" applyFont="1" applyFill="1" applyBorder="1" applyAlignment="1">
      <alignment horizontal="center" vertical="center"/>
    </xf>
    <xf numFmtId="0" fontId="75" fillId="0" borderId="13" xfId="2" applyNumberFormat="1" applyFont="1" applyBorder="1" applyAlignment="1">
      <alignment horizontal="center" vertical="center"/>
    </xf>
    <xf numFmtId="170" fontId="75" fillId="0" borderId="13" xfId="2" applyNumberFormat="1" applyFont="1" applyFill="1" applyBorder="1" applyAlignment="1">
      <alignment horizontal="center" vertical="center"/>
    </xf>
    <xf numFmtId="0" fontId="85" fillId="0" borderId="32" xfId="0" applyFont="1" applyFill="1" applyBorder="1" applyAlignment="1" applyProtection="1">
      <alignment horizontal="left" vertical="center"/>
    </xf>
    <xf numFmtId="0" fontId="84" fillId="0" borderId="12" xfId="0" applyFont="1" applyFill="1" applyBorder="1" applyAlignment="1" applyProtection="1">
      <alignment vertical="center"/>
    </xf>
    <xf numFmtId="0" fontId="75" fillId="16" borderId="24" xfId="2" applyFont="1" applyFill="1" applyBorder="1" applyAlignment="1" applyProtection="1">
      <alignment horizontal="left" vertical="center"/>
    </xf>
    <xf numFmtId="0" fontId="75" fillId="16" borderId="19" xfId="2" applyFont="1" applyFill="1" applyBorder="1" applyAlignment="1" applyProtection="1">
      <alignment horizontal="left" vertical="center"/>
    </xf>
    <xf numFmtId="0" fontId="63" fillId="16" borderId="13" xfId="2" applyFont="1" applyFill="1" applyBorder="1" applyAlignment="1" applyProtection="1">
      <alignment vertical="center" wrapText="1"/>
    </xf>
    <xf numFmtId="0" fontId="63" fillId="16" borderId="24" xfId="2" applyFont="1" applyFill="1" applyBorder="1" applyAlignment="1" applyProtection="1">
      <alignment horizontal="left" vertical="center"/>
    </xf>
    <xf numFmtId="0" fontId="86" fillId="17" borderId="13" xfId="2" applyFont="1" applyFill="1" applyBorder="1" applyAlignment="1" applyProtection="1">
      <alignment vertical="center"/>
    </xf>
    <xf numFmtId="0" fontId="72" fillId="0" borderId="4" xfId="3" applyFont="1" applyBorder="1" applyAlignment="1">
      <alignment horizontal="left" vertical="center"/>
    </xf>
    <xf numFmtId="0" fontId="72" fillId="0" borderId="0" xfId="3" applyFont="1" applyBorder="1" applyAlignment="1">
      <alignment vertical="center"/>
    </xf>
    <xf numFmtId="0" fontId="72" fillId="0" borderId="0" xfId="3" applyFont="1" applyBorder="1" applyAlignment="1">
      <alignment horizontal="left" vertical="center"/>
    </xf>
    <xf numFmtId="169" fontId="71" fillId="0" borderId="8" xfId="3" applyNumberFormat="1" applyFont="1" applyFill="1" applyBorder="1" applyAlignment="1">
      <alignment vertical="center"/>
    </xf>
    <xf numFmtId="169" fontId="73" fillId="0" borderId="8" xfId="3" applyNumberFormat="1" applyFont="1" applyFill="1" applyBorder="1" applyAlignment="1">
      <alignment horizontal="center" vertical="center"/>
    </xf>
    <xf numFmtId="169" fontId="71" fillId="0" borderId="8" xfId="3" quotePrefix="1" applyNumberFormat="1" applyFont="1" applyFill="1" applyBorder="1" applyAlignment="1">
      <alignment vertical="center"/>
    </xf>
    <xf numFmtId="15" fontId="73" fillId="0" borderId="9" xfId="0" applyNumberFormat="1" applyFont="1" applyBorder="1" applyAlignment="1">
      <alignment horizontal="center" vertical="center"/>
    </xf>
    <xf numFmtId="169" fontId="73" fillId="0" borderId="8" xfId="3" applyNumberFormat="1" applyFont="1" applyFill="1" applyBorder="1" applyAlignment="1">
      <alignment horizontal="left" vertical="center"/>
    </xf>
    <xf numFmtId="0" fontId="73" fillId="0" borderId="8" xfId="3" applyNumberFormat="1" applyFont="1" applyFill="1" applyBorder="1" applyAlignment="1">
      <alignment horizontal="left" vertical="center"/>
    </xf>
    <xf numFmtId="172" fontId="73" fillId="0" borderId="8" xfId="3" applyNumberFormat="1" applyFont="1" applyBorder="1" applyAlignment="1">
      <alignment horizontal="left" vertical="center"/>
    </xf>
    <xf numFmtId="9" fontId="61" fillId="13" borderId="39" xfId="4" applyFont="1" applyFill="1" applyBorder="1" applyAlignment="1">
      <alignment horizontal="center" vertical="center"/>
    </xf>
    <xf numFmtId="170" fontId="63" fillId="16" borderId="13" xfId="2" applyNumberFormat="1" applyFont="1" applyFill="1" applyBorder="1" applyAlignment="1">
      <alignment horizontal="center" vertical="center"/>
    </xf>
    <xf numFmtId="170" fontId="63" fillId="16" borderId="13" xfId="2" applyNumberFormat="1" applyFont="1" applyFill="1" applyBorder="1" applyAlignment="1" applyProtection="1">
      <alignment horizontal="center" vertical="center"/>
    </xf>
    <xf numFmtId="1" fontId="87" fillId="16" borderId="13" xfId="2" applyNumberFormat="1" applyFont="1" applyFill="1" applyBorder="1" applyAlignment="1" applyProtection="1">
      <alignment horizontal="center" vertical="center"/>
    </xf>
    <xf numFmtId="1" fontId="87" fillId="16" borderId="20" xfId="2" applyNumberFormat="1" applyFont="1" applyFill="1" applyBorder="1" applyAlignment="1" applyProtection="1">
      <alignment horizontal="center" vertical="center"/>
    </xf>
    <xf numFmtId="1" fontId="75" fillId="16" borderId="20" xfId="2" applyNumberFormat="1" applyFont="1" applyFill="1" applyBorder="1" applyAlignment="1">
      <alignment horizontal="center" vertical="center"/>
    </xf>
    <xf numFmtId="0" fontId="86" fillId="16" borderId="13" xfId="2" applyFont="1" applyFill="1" applyBorder="1" applyAlignment="1" applyProtection="1">
      <alignment vertical="center"/>
    </xf>
    <xf numFmtId="0" fontId="63" fillId="16" borderId="13" xfId="2" applyFont="1" applyFill="1" applyBorder="1" applyAlignment="1" applyProtection="1">
      <alignment vertical="center"/>
    </xf>
    <xf numFmtId="0" fontId="86" fillId="16" borderId="13" xfId="2" applyFont="1" applyFill="1" applyBorder="1" applyAlignment="1" applyProtection="1">
      <alignment vertical="center" wrapText="1"/>
    </xf>
    <xf numFmtId="0" fontId="86" fillId="16" borderId="20" xfId="2" applyFont="1" applyFill="1" applyBorder="1" applyAlignment="1" applyProtection="1">
      <alignment vertical="center"/>
    </xf>
    <xf numFmtId="0" fontId="22" fillId="16" borderId="24" xfId="2" applyFont="1" applyFill="1" applyBorder="1" applyAlignment="1">
      <alignment horizontal="left" vertical="center"/>
    </xf>
    <xf numFmtId="0" fontId="45" fillId="16" borderId="15" xfId="3" applyFont="1" applyFill="1" applyBorder="1" applyAlignment="1">
      <alignment horizontal="left" vertical="center"/>
    </xf>
    <xf numFmtId="0" fontId="22" fillId="16" borderId="20" xfId="2" applyFont="1" applyFill="1" applyBorder="1" applyAlignment="1">
      <alignment horizontal="left" vertical="center"/>
    </xf>
    <xf numFmtId="0" fontId="69" fillId="16" borderId="15" xfId="3" applyFont="1" applyFill="1" applyBorder="1" applyAlignment="1" applyProtection="1">
      <alignment horizontal="left" vertical="center"/>
    </xf>
    <xf numFmtId="0" fontId="88" fillId="0" borderId="13" xfId="2" applyFont="1" applyBorder="1" applyAlignment="1" applyProtection="1">
      <alignment vertical="center"/>
    </xf>
    <xf numFmtId="0" fontId="88" fillId="18" borderId="13" xfId="2" applyFont="1" applyFill="1" applyBorder="1" applyAlignment="1" applyProtection="1">
      <alignment vertical="center"/>
    </xf>
    <xf numFmtId="0" fontId="88" fillId="18" borderId="13" xfId="2" applyFont="1" applyFill="1" applyBorder="1" applyAlignment="1" applyProtection="1">
      <alignment vertical="center" wrapText="1"/>
    </xf>
    <xf numFmtId="0" fontId="88" fillId="17" borderId="13" xfId="2" applyFont="1" applyFill="1" applyBorder="1" applyAlignment="1" applyProtection="1">
      <alignment vertical="center" wrapText="1"/>
    </xf>
    <xf numFmtId="0" fontId="88" fillId="17" borderId="13" xfId="2" applyFont="1" applyFill="1" applyBorder="1" applyAlignment="1" applyProtection="1">
      <alignment vertical="center"/>
    </xf>
    <xf numFmtId="0" fontId="88" fillId="0" borderId="13" xfId="2" applyFont="1" applyBorder="1" applyAlignment="1" applyProtection="1">
      <alignment vertical="center" wrapText="1"/>
    </xf>
    <xf numFmtId="0" fontId="88" fillId="17" borderId="20" xfId="2" applyFont="1" applyFill="1" applyBorder="1" applyAlignment="1" applyProtection="1">
      <alignment vertical="center"/>
    </xf>
    <xf numFmtId="0" fontId="89" fillId="3" borderId="13" xfId="2" applyFont="1" applyFill="1" applyBorder="1" applyAlignment="1" applyProtection="1">
      <alignment horizontal="left" vertical="center"/>
    </xf>
    <xf numFmtId="1" fontId="90" fillId="0" borderId="13" xfId="2" applyNumberFormat="1" applyFont="1" applyFill="1" applyBorder="1" applyAlignment="1" applyProtection="1">
      <alignment horizontal="center" vertical="center"/>
    </xf>
    <xf numFmtId="1" fontId="90" fillId="18" borderId="13" xfId="2" applyNumberFormat="1" applyFont="1" applyFill="1" applyBorder="1" applyAlignment="1" applyProtection="1">
      <alignment horizontal="center" vertical="center"/>
    </xf>
    <xf numFmtId="174" fontId="90" fillId="18" borderId="13" xfId="2" applyNumberFormat="1" applyFont="1" applyFill="1" applyBorder="1" applyAlignment="1" applyProtection="1">
      <alignment horizontal="center" vertical="center"/>
    </xf>
    <xf numFmtId="174" fontId="90" fillId="0" borderId="13" xfId="2" applyNumberFormat="1" applyFont="1" applyFill="1" applyBorder="1" applyAlignment="1" applyProtection="1">
      <alignment horizontal="center" vertical="center"/>
    </xf>
    <xf numFmtId="1" fontId="90" fillId="0" borderId="20" xfId="2" applyNumberFormat="1" applyFont="1" applyFill="1" applyBorder="1" applyAlignment="1" applyProtection="1">
      <alignment horizontal="center" vertical="center"/>
    </xf>
    <xf numFmtId="170" fontId="88" fillId="0" borderId="13" xfId="2" applyNumberFormat="1" applyFont="1" applyFill="1" applyBorder="1" applyAlignment="1" applyProtection="1">
      <alignment horizontal="center" vertical="center"/>
    </xf>
    <xf numFmtId="170" fontId="88" fillId="18" borderId="13" xfId="2" applyNumberFormat="1" applyFont="1" applyFill="1" applyBorder="1" applyAlignment="1" applyProtection="1">
      <alignment horizontal="center" vertical="center"/>
    </xf>
    <xf numFmtId="0" fontId="66" fillId="0" borderId="13" xfId="0" applyFont="1" applyFill="1" applyBorder="1" applyAlignment="1">
      <alignment horizontal="center" vertical="center" wrapText="1"/>
    </xf>
    <xf numFmtId="0" fontId="66" fillId="0" borderId="13" xfId="0" applyNumberFormat="1" applyFont="1" applyFill="1" applyBorder="1" applyAlignment="1">
      <alignment horizontal="center" vertical="center"/>
    </xf>
    <xf numFmtId="0" fontId="64" fillId="0" borderId="33" xfId="3" applyNumberFormat="1" applyFont="1" applyFill="1" applyBorder="1" applyAlignment="1">
      <alignment horizontal="center" vertical="center"/>
    </xf>
    <xf numFmtId="164" fontId="91" fillId="4" borderId="21" xfId="3" applyNumberFormat="1" applyFont="1" applyFill="1" applyBorder="1" applyAlignment="1">
      <alignment horizontal="left" vertical="center"/>
    </xf>
    <xf numFmtId="164" fontId="91" fillId="4" borderId="22" xfId="3" applyNumberFormat="1" applyFont="1" applyFill="1" applyBorder="1" applyAlignment="1">
      <alignment horizontal="center" vertical="center"/>
    </xf>
    <xf numFmtId="168" fontId="91" fillId="4" borderId="23" xfId="3" applyNumberFormat="1" applyFont="1" applyFill="1" applyBorder="1" applyAlignment="1">
      <alignment horizontal="center" vertical="center"/>
    </xf>
    <xf numFmtId="0" fontId="29" fillId="0" borderId="4" xfId="3" applyFont="1" applyBorder="1" applyAlignment="1">
      <alignment horizontal="left" vertical="center"/>
    </xf>
    <xf numFmtId="164" fontId="80" fillId="0" borderId="0" xfId="3" applyNumberFormat="1" applyFont="1" applyFill="1" applyBorder="1" applyAlignment="1">
      <alignment vertical="center"/>
    </xf>
    <xf numFmtId="165" fontId="80" fillId="0" borderId="0" xfId="3" applyNumberFormat="1" applyFont="1" applyFill="1" applyBorder="1" applyAlignment="1">
      <alignment horizontal="center" vertical="center"/>
    </xf>
    <xf numFmtId="166" fontId="80" fillId="0" borderId="0" xfId="3" applyNumberFormat="1" applyFont="1" applyFill="1" applyBorder="1" applyAlignment="1">
      <alignment horizontal="center" vertical="center"/>
    </xf>
    <xf numFmtId="168" fontId="80" fillId="0" borderId="5" xfId="3" applyNumberFormat="1" applyFont="1" applyFill="1" applyBorder="1" applyAlignment="1">
      <alignment horizontal="center" vertical="center"/>
    </xf>
    <xf numFmtId="165" fontId="91" fillId="4" borderId="22" xfId="3" applyNumberFormat="1" applyFont="1" applyFill="1" applyBorder="1" applyAlignment="1">
      <alignment horizontal="center" vertical="center"/>
    </xf>
    <xf numFmtId="10" fontId="91" fillId="15" borderId="22" xfId="4" applyNumberFormat="1" applyFont="1" applyFill="1" applyBorder="1" applyAlignment="1">
      <alignment horizontal="center" vertical="center"/>
    </xf>
    <xf numFmtId="165" fontId="80" fillId="0" borderId="0" xfId="2" applyNumberFormat="1" applyFont="1" applyFill="1" applyBorder="1" applyAlignment="1">
      <alignment horizontal="center" vertical="center"/>
    </xf>
    <xf numFmtId="166" fontId="80" fillId="0" borderId="0" xfId="2" applyNumberFormat="1" applyFont="1" applyFill="1" applyBorder="1" applyAlignment="1">
      <alignment horizontal="center" vertical="center"/>
    </xf>
    <xf numFmtId="168" fontId="80" fillId="0" borderId="5" xfId="2" applyNumberFormat="1" applyFont="1" applyFill="1" applyBorder="1" applyAlignment="1">
      <alignment horizontal="center" vertical="center"/>
    </xf>
    <xf numFmtId="165" fontId="91" fillId="15" borderId="28" xfId="3" applyNumberFormat="1" applyFont="1" applyFill="1" applyBorder="1" applyAlignment="1">
      <alignment horizontal="center" vertical="center"/>
    </xf>
    <xf numFmtId="0" fontId="64" fillId="0" borderId="29" xfId="3" applyFont="1" applyFill="1" applyBorder="1" applyAlignment="1" applyProtection="1">
      <alignment horizontal="left" vertical="center" wrapText="1"/>
    </xf>
    <xf numFmtId="179" fontId="66" fillId="0" borderId="31" xfId="0" applyNumberFormat="1" applyFont="1" applyFill="1" applyBorder="1" applyAlignment="1" applyProtection="1">
      <alignment horizontal="left" vertical="center"/>
    </xf>
    <xf numFmtId="0" fontId="71" fillId="0" borderId="32" xfId="3" applyFont="1" applyFill="1" applyBorder="1" applyAlignment="1" applyProtection="1">
      <alignment vertical="center" wrapText="1"/>
    </xf>
    <xf numFmtId="0" fontId="66" fillId="0" borderId="33" xfId="0" applyNumberFormat="1" applyFont="1" applyFill="1" applyBorder="1" applyAlignment="1" applyProtection="1">
      <alignment horizontal="center" vertical="center"/>
    </xf>
    <xf numFmtId="0" fontId="66" fillId="0" borderId="32" xfId="0" applyFont="1" applyFill="1" applyBorder="1" applyAlignment="1">
      <alignment horizontal="center" vertical="center"/>
    </xf>
    <xf numFmtId="0" fontId="66" fillId="0" borderId="32" xfId="0" applyFont="1" applyFill="1" applyBorder="1" applyAlignment="1" applyProtection="1">
      <alignment horizontal="center" vertical="center"/>
    </xf>
    <xf numFmtId="0" fontId="75" fillId="3" borderId="24" xfId="2" applyFont="1" applyFill="1" applyBorder="1" applyAlignment="1" applyProtection="1">
      <alignment horizontal="left" vertical="center"/>
    </xf>
    <xf numFmtId="0" fontId="75" fillId="3" borderId="19" xfId="2" applyFont="1" applyFill="1" applyBorder="1" applyAlignment="1" applyProtection="1">
      <alignment horizontal="left" vertical="center"/>
    </xf>
    <xf numFmtId="0" fontId="66" fillId="0" borderId="13" xfId="0" applyFont="1" applyFill="1" applyBorder="1" applyAlignment="1" applyProtection="1">
      <alignment horizontal="left" vertical="center" wrapText="1"/>
    </xf>
    <xf numFmtId="9" fontId="92" fillId="13" borderId="39" xfId="4" applyFont="1" applyFill="1" applyBorder="1" applyAlignment="1">
      <alignment horizontal="center" vertical="center"/>
    </xf>
    <xf numFmtId="181" fontId="93" fillId="13" borderId="22" xfId="0" applyNumberFormat="1" applyFont="1" applyFill="1" applyBorder="1" applyAlignment="1">
      <alignment horizontal="right" vertical="center"/>
    </xf>
    <xf numFmtId="0" fontId="75" fillId="0" borderId="29" xfId="2" applyFont="1" applyFill="1" applyBorder="1" applyAlignment="1" applyProtection="1">
      <alignment horizontal="left" vertical="center"/>
    </xf>
    <xf numFmtId="0" fontId="75" fillId="0" borderId="13" xfId="2" applyFont="1" applyFill="1" applyBorder="1" applyAlignment="1" applyProtection="1">
      <alignment horizontal="left" vertical="center" wrapText="1"/>
    </xf>
    <xf numFmtId="0" fontId="53" fillId="0" borderId="33" xfId="3" applyNumberFormat="1" applyFont="1" applyFill="1" applyBorder="1" applyAlignment="1" applyProtection="1">
      <alignment horizontal="center" vertical="center"/>
    </xf>
    <xf numFmtId="167" fontId="9" fillId="0" borderId="0" xfId="2" applyNumberFormat="1" applyFont="1" applyBorder="1" applyAlignment="1">
      <alignment horizontal="center" vertical="center" wrapText="1"/>
    </xf>
    <xf numFmtId="0" fontId="9" fillId="0" borderId="0" xfId="2" applyFont="1" applyBorder="1" applyAlignment="1">
      <alignment vertical="center" wrapText="1"/>
    </xf>
    <xf numFmtId="0" fontId="64" fillId="0" borderId="15" xfId="3" applyFont="1" applyFill="1" applyBorder="1" applyAlignment="1">
      <alignment horizontal="center" vertical="center"/>
    </xf>
    <xf numFmtId="165" fontId="6" fillId="0" borderId="0" xfId="2" applyNumberFormat="1" applyFont="1" applyBorder="1" applyAlignment="1">
      <alignment horizontal="center" vertical="center"/>
    </xf>
    <xf numFmtId="166" fontId="6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67" fontId="9" fillId="0" borderId="0" xfId="2" applyNumberFormat="1" applyFont="1" applyBorder="1" applyAlignment="1">
      <alignment horizontal="left" vertical="center"/>
    </xf>
    <xf numFmtId="0" fontId="94" fillId="0" borderId="0" xfId="2" applyFont="1" applyBorder="1" applyAlignment="1">
      <alignment vertical="center"/>
    </xf>
    <xf numFmtId="0" fontId="10" fillId="3" borderId="39" xfId="0" applyFont="1" applyFill="1" applyBorder="1" applyAlignment="1">
      <alignment vertical="center"/>
    </xf>
    <xf numFmtId="180" fontId="76" fillId="3" borderId="13" xfId="0" applyNumberFormat="1" applyFont="1" applyFill="1" applyBorder="1" applyAlignment="1">
      <alignment horizontal="right" vertical="center"/>
    </xf>
    <xf numFmtId="1" fontId="75" fillId="0" borderId="13" xfId="2" applyNumberFormat="1" applyFont="1" applyFill="1" applyBorder="1" applyAlignment="1">
      <alignment horizontal="center" vertical="center"/>
    </xf>
    <xf numFmtId="181" fontId="82" fillId="16" borderId="13" xfId="0" applyNumberFormat="1" applyFont="1" applyFill="1" applyBorder="1" applyAlignment="1">
      <alignment horizontal="right" vertical="center"/>
    </xf>
    <xf numFmtId="0" fontId="75" fillId="0" borderId="11" xfId="2" applyFont="1" applyFill="1" applyBorder="1" applyAlignment="1" applyProtection="1">
      <alignment horizontal="left" vertical="center"/>
    </xf>
    <xf numFmtId="0" fontId="95" fillId="3" borderId="39" xfId="2" applyNumberFormat="1" applyFont="1" applyFill="1" applyBorder="1" applyAlignment="1">
      <alignment horizontal="center" vertical="center" wrapText="1"/>
    </xf>
    <xf numFmtId="169" fontId="73" fillId="0" borderId="8" xfId="3" applyNumberFormat="1" applyFont="1" applyFill="1" applyBorder="1" applyAlignment="1">
      <alignment vertical="center"/>
    </xf>
    <xf numFmtId="0" fontId="75" fillId="0" borderId="29" xfId="2" applyFont="1" applyFill="1" applyBorder="1" applyAlignment="1">
      <alignment horizontal="left" vertical="center"/>
    </xf>
    <xf numFmtId="0" fontId="82" fillId="0" borderId="30" xfId="0" applyFont="1" applyFill="1" applyBorder="1" applyAlignment="1">
      <alignment horizontal="left" vertical="center"/>
    </xf>
    <xf numFmtId="0" fontId="83" fillId="0" borderId="31" xfId="3" applyFont="1" applyBorder="1" applyAlignment="1">
      <alignment horizontal="left" vertical="center"/>
    </xf>
    <xf numFmtId="179" fontId="66" fillId="0" borderId="31" xfId="0" applyNumberFormat="1" applyFont="1" applyFill="1" applyBorder="1" applyAlignment="1" applyProtection="1">
      <alignment vertical="center"/>
    </xf>
    <xf numFmtId="0" fontId="66" fillId="0" borderId="31" xfId="0" applyFont="1" applyFill="1" applyBorder="1" applyAlignment="1">
      <alignment vertical="center" wrapText="1"/>
    </xf>
    <xf numFmtId="0" fontId="64" fillId="0" borderId="29" xfId="3" applyFont="1" applyFill="1" applyBorder="1" applyAlignment="1" applyProtection="1">
      <alignment vertical="center" wrapText="1"/>
    </xf>
    <xf numFmtId="0" fontId="0" fillId="0" borderId="0" xfId="0" applyAlignment="1">
      <alignment horizontal="left"/>
    </xf>
    <xf numFmtId="0" fontId="0" fillId="9" borderId="0" xfId="0" applyFill="1" applyAlignment="1">
      <alignment horizontal="center"/>
    </xf>
    <xf numFmtId="0" fontId="44" fillId="3" borderId="41" xfId="3" applyFont="1" applyFill="1" applyBorder="1" applyAlignment="1">
      <alignment horizontal="left" vertical="center"/>
    </xf>
    <xf numFmtId="0" fontId="44" fillId="3" borderId="12" xfId="3" applyFont="1" applyFill="1" applyBorder="1" applyAlignment="1">
      <alignment horizontal="left" vertical="center"/>
    </xf>
    <xf numFmtId="0" fontId="44" fillId="3" borderId="13" xfId="3" applyFont="1" applyFill="1" applyBorder="1" applyAlignment="1">
      <alignment horizontal="left" vertical="center"/>
    </xf>
    <xf numFmtId="0" fontId="9" fillId="13" borderId="4" xfId="2" applyFont="1" applyFill="1" applyBorder="1" applyAlignment="1">
      <alignment horizontal="center" vertical="center"/>
    </xf>
    <xf numFmtId="0" fontId="9" fillId="13" borderId="0" xfId="2" applyFont="1" applyFill="1" applyBorder="1" applyAlignment="1">
      <alignment horizontal="center" vertical="center"/>
    </xf>
    <xf numFmtId="0" fontId="9" fillId="13" borderId="5" xfId="2" applyFont="1" applyFill="1" applyBorder="1" applyAlignment="1">
      <alignment horizontal="center" vertical="center"/>
    </xf>
    <xf numFmtId="0" fontId="23" fillId="0" borderId="11" xfId="2" applyFont="1" applyBorder="1" applyAlignment="1">
      <alignment horizontal="center" vertical="center"/>
    </xf>
    <xf numFmtId="0" fontId="23" fillId="0" borderId="12" xfId="2" applyFont="1" applyBorder="1" applyAlignment="1">
      <alignment horizontal="center" vertical="center"/>
    </xf>
    <xf numFmtId="0" fontId="8" fillId="3" borderId="13" xfId="2" applyFont="1" applyFill="1" applyBorder="1" applyAlignment="1">
      <alignment horizontal="left" vertical="center"/>
    </xf>
    <xf numFmtId="0" fontId="55" fillId="13" borderId="21" xfId="2" applyFont="1" applyFill="1" applyBorder="1" applyAlignment="1">
      <alignment horizontal="center" vertical="center"/>
    </xf>
    <xf numFmtId="0" fontId="55" fillId="13" borderId="22" xfId="2" applyFont="1" applyFill="1" applyBorder="1" applyAlignment="1">
      <alignment horizontal="center" vertical="center"/>
    </xf>
    <xf numFmtId="0" fontId="55" fillId="11" borderId="35" xfId="2" applyFont="1" applyFill="1" applyBorder="1" applyAlignment="1">
      <alignment horizontal="right" vertical="center"/>
    </xf>
    <xf numFmtId="0" fontId="55" fillId="11" borderId="25" xfId="2" applyFont="1" applyFill="1" applyBorder="1" applyAlignment="1">
      <alignment horizontal="right" vertical="center"/>
    </xf>
    <xf numFmtId="0" fontId="55" fillId="11" borderId="10" xfId="2" applyFont="1" applyFill="1" applyBorder="1" applyAlignment="1">
      <alignment horizontal="right" vertical="center"/>
    </xf>
    <xf numFmtId="0" fontId="55" fillId="11" borderId="19" xfId="2" applyFont="1" applyFill="1" applyBorder="1" applyAlignment="1">
      <alignment horizontal="right" vertical="center"/>
    </xf>
    <xf numFmtId="0" fontId="55" fillId="11" borderId="18" xfId="2" applyFont="1" applyFill="1" applyBorder="1" applyAlignment="1">
      <alignment horizontal="right" vertical="center"/>
    </xf>
    <xf numFmtId="0" fontId="44" fillId="3" borderId="33" xfId="3" applyFont="1" applyFill="1" applyBorder="1" applyAlignment="1">
      <alignment horizontal="left" vertical="center"/>
    </xf>
    <xf numFmtId="0" fontId="55" fillId="13" borderId="23" xfId="2" applyFont="1" applyFill="1" applyBorder="1" applyAlignment="1">
      <alignment horizontal="center" vertical="center"/>
    </xf>
    <xf numFmtId="0" fontId="8" fillId="3" borderId="36" xfId="2" applyFont="1" applyFill="1" applyBorder="1" applyAlignment="1">
      <alignment horizontal="left" vertical="center"/>
    </xf>
    <xf numFmtId="0" fontId="8" fillId="3" borderId="37" xfId="2" applyFont="1" applyFill="1" applyBorder="1" applyAlignment="1">
      <alignment horizontal="left" vertical="center"/>
    </xf>
    <xf numFmtId="0" fontId="5" fillId="0" borderId="1" xfId="2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center" vertical="center"/>
    </xf>
  </cellXfs>
  <cellStyles count="5">
    <cellStyle name="Normal" xfId="0" builtinId="0"/>
    <cellStyle name="Percent" xfId="1" builtinId="5"/>
    <cellStyle name="Percent 2" xfId="4"/>
    <cellStyle name="표준_2125-HH-BBD 원가계산서 (11-14)" xfId="2"/>
    <cellStyle name="표준_2125-HH-BBD 원가계산서 (11-14)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9525</xdr:rowOff>
        </xdr:from>
        <xdr:to>
          <xdr:col>1</xdr:col>
          <xdr:colOff>57150</xdr:colOff>
          <xdr:row>4</xdr:row>
          <xdr:rowOff>228600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3</xdr:row>
          <xdr:rowOff>9525</xdr:rowOff>
        </xdr:from>
        <xdr:to>
          <xdr:col>2</xdr:col>
          <xdr:colOff>161925</xdr:colOff>
          <xdr:row>4</xdr:row>
          <xdr:rowOff>238125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66675</xdr:colOff>
          <xdr:row>4</xdr:row>
          <xdr:rowOff>238125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582405</xdr:colOff>
      <xdr:row>2</xdr:row>
      <xdr:rowOff>29502</xdr:rowOff>
    </xdr:from>
    <xdr:to>
      <xdr:col>10</xdr:col>
      <xdr:colOff>1782095</xdr:colOff>
      <xdr:row>9</xdr:row>
      <xdr:rowOff>0</xdr:rowOff>
    </xdr:to>
    <xdr:pic>
      <xdr:nvPicPr>
        <xdr:cNvPr id="5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l="21815" t="16016" r="23940" b="18359"/>
        <a:stretch>
          <a:fillRect/>
        </a:stretch>
      </xdr:blipFill>
      <xdr:spPr bwMode="auto">
        <a:xfrm>
          <a:off x="13748413" y="475026"/>
          <a:ext cx="2167553" cy="14760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XZ27"/>
  <sheetViews>
    <sheetView zoomScale="80" zoomScaleNormal="8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9" sqref="A9:AC27"/>
    </sheetView>
  </sheetViews>
  <sheetFormatPr defaultColWidth="9.42578125" defaultRowHeight="15"/>
  <cols>
    <col min="1" max="1" width="10.28515625" bestFit="1" customWidth="1"/>
    <col min="2" max="2" width="12.140625" bestFit="1" customWidth="1"/>
    <col min="3" max="3" width="8.42578125" bestFit="1" customWidth="1"/>
    <col min="4" max="4" width="32.85546875" bestFit="1" customWidth="1"/>
    <col min="5" max="5" width="12.140625" bestFit="1" customWidth="1"/>
    <col min="6" max="6" width="13.140625" bestFit="1" customWidth="1"/>
    <col min="7" max="7" width="11.7109375" bestFit="1" customWidth="1"/>
    <col min="8" max="8" width="8.7109375" bestFit="1" customWidth="1"/>
    <col min="9" max="9" width="12.140625" bestFit="1" customWidth="1"/>
    <col min="10" max="10" width="14.42578125" bestFit="1" customWidth="1"/>
    <col min="11" max="11" width="15.5703125" bestFit="1" customWidth="1"/>
    <col min="12" max="12" width="6.5703125" style="126" bestFit="1" customWidth="1"/>
    <col min="13" max="13" width="5.5703125" style="126" bestFit="1" customWidth="1"/>
    <col min="14" max="14" width="7.140625" style="119" bestFit="1" customWidth="1"/>
    <col min="15" max="15" width="13.42578125" style="119" bestFit="1" customWidth="1"/>
    <col min="16" max="16" width="6.28515625" style="119" bestFit="1" customWidth="1"/>
    <col min="17" max="17" width="14.5703125" style="119" bestFit="1" customWidth="1"/>
    <col min="18" max="18" width="9.5703125" style="119" bestFit="1" customWidth="1"/>
    <col min="19" max="19" width="21.28515625" style="119" bestFit="1" customWidth="1"/>
    <col min="20" max="20" width="9.5703125" style="119" bestFit="1" customWidth="1"/>
    <col min="21" max="21" width="6" style="119" bestFit="1" customWidth="1"/>
    <col min="22" max="22" width="9.7109375" style="119" bestFit="1" customWidth="1"/>
    <col min="23" max="23" width="12.42578125" style="119" bestFit="1" customWidth="1"/>
    <col min="24" max="24" width="8" style="119" bestFit="1" customWidth="1"/>
    <col min="25" max="25" width="23.5703125" style="119" bestFit="1" customWidth="1"/>
    <col min="26" max="26" width="6.42578125" style="119" bestFit="1" customWidth="1"/>
    <col min="27" max="27" width="10.140625" style="119" bestFit="1" customWidth="1"/>
    <col min="28" max="28" width="13.42578125" style="119" bestFit="1" customWidth="1"/>
    <col min="29" max="29" width="19.28515625" bestFit="1" customWidth="1"/>
  </cols>
  <sheetData>
    <row r="1" spans="1:650">
      <c r="A1" t="s">
        <v>54</v>
      </c>
    </row>
    <row r="2" spans="1:650">
      <c r="A2" s="664" t="s">
        <v>55</v>
      </c>
      <c r="B2" s="664"/>
      <c r="C2" s="664"/>
      <c r="D2" s="664"/>
      <c r="E2" s="664"/>
      <c r="F2" s="664"/>
      <c r="G2" s="664"/>
      <c r="H2" s="664"/>
      <c r="I2" s="664"/>
      <c r="J2" s="664" t="s">
        <v>73</v>
      </c>
      <c r="K2" s="664"/>
      <c r="L2" s="664"/>
      <c r="M2" s="664"/>
      <c r="N2" s="664"/>
      <c r="O2" s="664"/>
      <c r="P2" s="664"/>
      <c r="Q2" s="664"/>
      <c r="XZ2" t="s">
        <v>53</v>
      </c>
    </row>
    <row r="3" spans="1:650">
      <c r="A3" s="664" t="s">
        <v>79</v>
      </c>
      <c r="B3" s="664"/>
      <c r="C3" s="664"/>
      <c r="D3" s="664"/>
      <c r="E3" s="664"/>
      <c r="F3" s="664"/>
      <c r="G3" s="664"/>
      <c r="H3" s="664"/>
      <c r="I3" s="664"/>
      <c r="J3" s="664"/>
      <c r="K3" s="664"/>
      <c r="L3" s="664"/>
      <c r="M3" s="664"/>
      <c r="N3" s="664"/>
      <c r="O3" s="664"/>
      <c r="P3" s="664"/>
      <c r="Q3" s="664"/>
      <c r="R3" s="664"/>
      <c r="S3" s="664"/>
    </row>
    <row r="4" spans="1:650">
      <c r="A4" s="665"/>
      <c r="B4" s="665"/>
      <c r="C4" s="665"/>
      <c r="D4" s="665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</row>
    <row r="5" spans="1:650" ht="19.5" customHeight="1">
      <c r="A5" s="665"/>
      <c r="B5" s="665"/>
      <c r="C5" s="665"/>
      <c r="D5" s="665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</row>
    <row r="7" spans="1:650">
      <c r="A7" s="122" t="s">
        <v>56</v>
      </c>
      <c r="B7" s="122" t="s">
        <v>57</v>
      </c>
      <c r="C7" s="122" t="s">
        <v>58</v>
      </c>
      <c r="D7" s="122" t="s">
        <v>59</v>
      </c>
      <c r="E7" s="122" t="s">
        <v>72</v>
      </c>
      <c r="F7" s="122" t="s">
        <v>60</v>
      </c>
      <c r="G7" s="122" t="s">
        <v>61</v>
      </c>
      <c r="H7" s="122" t="s">
        <v>62</v>
      </c>
      <c r="I7" s="122" t="s">
        <v>63</v>
      </c>
      <c r="J7" s="122" t="s">
        <v>64</v>
      </c>
      <c r="K7" s="122" t="s">
        <v>65</v>
      </c>
      <c r="L7" s="122" t="s">
        <v>77</v>
      </c>
      <c r="M7" s="122" t="s">
        <v>78</v>
      </c>
      <c r="N7" s="123" t="s">
        <v>119</v>
      </c>
      <c r="O7" s="123" t="s">
        <v>127</v>
      </c>
      <c r="P7" s="123" t="s">
        <v>120</v>
      </c>
      <c r="Q7" s="123" t="s">
        <v>121</v>
      </c>
      <c r="R7" s="123" t="s">
        <v>122</v>
      </c>
      <c r="S7" s="123" t="s">
        <v>66</v>
      </c>
      <c r="T7" s="123" t="s">
        <v>67</v>
      </c>
      <c r="U7" s="123" t="s">
        <v>68</v>
      </c>
      <c r="V7" s="123" t="s">
        <v>69</v>
      </c>
      <c r="W7" s="123" t="s">
        <v>70</v>
      </c>
      <c r="X7" s="123" t="s">
        <v>71</v>
      </c>
      <c r="Y7" s="123" t="s">
        <v>109</v>
      </c>
      <c r="Z7" s="123" t="s">
        <v>110</v>
      </c>
      <c r="AA7" s="123" t="s">
        <v>123</v>
      </c>
      <c r="AB7" s="123" t="s">
        <v>124</v>
      </c>
      <c r="AC7" s="122" t="s">
        <v>125</v>
      </c>
    </row>
    <row r="8" spans="1:650" s="209" customFormat="1" ht="36" customHeight="1">
      <c r="A8" s="120" t="s">
        <v>40</v>
      </c>
      <c r="B8" s="120" t="s">
        <v>41</v>
      </c>
      <c r="C8" s="120" t="s">
        <v>42</v>
      </c>
      <c r="D8" s="120" t="s">
        <v>43</v>
      </c>
      <c r="E8" s="120" t="s">
        <v>12</v>
      </c>
      <c r="F8" s="120" t="s">
        <v>44</v>
      </c>
      <c r="G8" s="120" t="s">
        <v>45</v>
      </c>
      <c r="H8" s="120" t="s">
        <v>46</v>
      </c>
      <c r="I8" s="120" t="s">
        <v>47</v>
      </c>
      <c r="J8" s="120" t="s">
        <v>48</v>
      </c>
      <c r="K8" s="120" t="s">
        <v>49</v>
      </c>
      <c r="L8" s="120" t="s">
        <v>74</v>
      </c>
      <c r="M8" s="120" t="s">
        <v>76</v>
      </c>
      <c r="N8" s="121" t="s">
        <v>50</v>
      </c>
      <c r="O8" s="121" t="s">
        <v>51</v>
      </c>
      <c r="P8" s="121" t="s">
        <v>22</v>
      </c>
      <c r="Q8" s="121" t="s">
        <v>52</v>
      </c>
      <c r="R8" s="121" t="s">
        <v>27</v>
      </c>
      <c r="S8" s="207" t="s">
        <v>30</v>
      </c>
      <c r="T8" s="207" t="s">
        <v>31</v>
      </c>
      <c r="U8" s="207" t="s">
        <v>35</v>
      </c>
      <c r="V8" s="207" t="s">
        <v>33</v>
      </c>
      <c r="W8" s="207" t="s">
        <v>107</v>
      </c>
      <c r="X8" s="207" t="s">
        <v>36</v>
      </c>
      <c r="Y8" s="207" t="s">
        <v>108</v>
      </c>
      <c r="Z8" s="207" t="s">
        <v>37</v>
      </c>
      <c r="AA8" s="207" t="s">
        <v>103</v>
      </c>
      <c r="AB8" s="207" t="s">
        <v>105</v>
      </c>
      <c r="AC8" s="208" t="s">
        <v>38</v>
      </c>
    </row>
    <row r="9" spans="1:650">
      <c r="A9" s="117" t="s">
        <v>153</v>
      </c>
      <c r="B9" s="117" t="s">
        <v>152</v>
      </c>
      <c r="C9" s="117"/>
      <c r="D9" s="117" t="s">
        <v>150</v>
      </c>
      <c r="E9" s="454"/>
      <c r="F9" s="117"/>
      <c r="G9" s="117" t="s">
        <v>179</v>
      </c>
      <c r="H9" s="117"/>
      <c r="I9" s="117" t="s">
        <v>151</v>
      </c>
      <c r="J9" s="117"/>
      <c r="K9" s="117"/>
      <c r="L9" s="117">
        <v>25.63</v>
      </c>
      <c r="M9" s="117">
        <v>0.06</v>
      </c>
      <c r="N9" s="118">
        <v>0</v>
      </c>
      <c r="O9" s="118">
        <v>0</v>
      </c>
      <c r="P9" s="118">
        <v>0.8503679999999999</v>
      </c>
      <c r="Q9" s="118">
        <v>7.4970000000000009E-2</v>
      </c>
      <c r="R9" s="118">
        <v>0</v>
      </c>
      <c r="S9" s="118">
        <v>0.21420000000000003</v>
      </c>
      <c r="T9" s="118">
        <v>1.5377999999999998</v>
      </c>
      <c r="U9" s="118">
        <v>2.6773379999999998</v>
      </c>
      <c r="V9" s="118">
        <v>0.13386689999999998</v>
      </c>
      <c r="W9" s="118">
        <v>2.8112048999999999</v>
      </c>
      <c r="X9" s="118">
        <v>0.28112049</v>
      </c>
      <c r="Y9" s="118">
        <v>3.0923253900000001</v>
      </c>
      <c r="Z9" s="118">
        <v>0</v>
      </c>
      <c r="AA9" s="118">
        <v>0</v>
      </c>
      <c r="AB9" s="118">
        <v>0</v>
      </c>
      <c r="AC9" s="117">
        <v>0</v>
      </c>
    </row>
    <row r="10" spans="1:650">
      <c r="A10" s="117" t="s">
        <v>153</v>
      </c>
      <c r="B10" s="117" t="s">
        <v>152</v>
      </c>
      <c r="C10" s="117"/>
      <c r="D10" s="117" t="s">
        <v>159</v>
      </c>
      <c r="E10" s="117"/>
      <c r="F10" s="117"/>
      <c r="G10" s="117" t="s">
        <v>177</v>
      </c>
      <c r="H10" s="117"/>
      <c r="I10" s="117" t="s">
        <v>151</v>
      </c>
      <c r="J10" s="117"/>
      <c r="K10" s="117"/>
      <c r="L10" s="117">
        <v>25.63</v>
      </c>
      <c r="M10" s="117">
        <v>0.06</v>
      </c>
      <c r="N10" s="118">
        <v>0</v>
      </c>
      <c r="O10" s="118">
        <v>0</v>
      </c>
      <c r="P10" s="118">
        <v>0.8503679999999999</v>
      </c>
      <c r="Q10" s="118">
        <v>7.4970000000000009E-2</v>
      </c>
      <c r="R10" s="118">
        <v>0</v>
      </c>
      <c r="S10" s="118">
        <v>0.21420000000000003</v>
      </c>
      <c r="T10" s="118">
        <v>1.5377999999999998</v>
      </c>
      <c r="U10" s="118">
        <v>2.6773379999999998</v>
      </c>
      <c r="V10" s="118">
        <v>0.13386689999999998</v>
      </c>
      <c r="W10" s="118">
        <v>2.8112048999999999</v>
      </c>
      <c r="X10" s="118">
        <v>0.28112049</v>
      </c>
      <c r="Y10" s="118">
        <v>3.0923253900000001</v>
      </c>
      <c r="Z10" s="118">
        <v>0</v>
      </c>
      <c r="AA10" s="118">
        <v>0</v>
      </c>
      <c r="AB10" s="118">
        <v>0</v>
      </c>
      <c r="AC10" s="117">
        <v>0</v>
      </c>
    </row>
    <row r="11" spans="1:650">
      <c r="A11" s="117" t="s">
        <v>153</v>
      </c>
      <c r="B11" s="117" t="s">
        <v>152</v>
      </c>
      <c r="C11" s="117"/>
      <c r="D11" s="117" t="s">
        <v>160</v>
      </c>
      <c r="E11" s="454"/>
      <c r="F11" s="117"/>
      <c r="G11" s="117" t="s">
        <v>179</v>
      </c>
      <c r="H11" s="117"/>
      <c r="I11" s="117" t="s">
        <v>151</v>
      </c>
      <c r="J11" s="117"/>
      <c r="K11" s="117"/>
      <c r="L11" s="117">
        <v>21.6</v>
      </c>
      <c r="M11" s="117">
        <v>0.06</v>
      </c>
      <c r="N11" s="118">
        <v>1.18</v>
      </c>
      <c r="O11" s="118">
        <v>0</v>
      </c>
      <c r="P11" s="118">
        <v>0.8503679999999999</v>
      </c>
      <c r="Q11" s="118">
        <v>7.4970000000000009E-2</v>
      </c>
      <c r="R11" s="118">
        <v>0</v>
      </c>
      <c r="S11" s="118">
        <v>0.21420000000000003</v>
      </c>
      <c r="T11" s="118">
        <v>1.296</v>
      </c>
      <c r="U11" s="118">
        <v>3.6124320539999997</v>
      </c>
      <c r="V11" s="118">
        <v>0.18062160269999999</v>
      </c>
      <c r="W11" s="118">
        <v>3.7930536566999997</v>
      </c>
      <c r="X11" s="118">
        <v>0.37930536567000001</v>
      </c>
      <c r="Y11" s="118">
        <v>4.1723590223699993</v>
      </c>
      <c r="Z11" s="118">
        <v>0</v>
      </c>
      <c r="AA11" s="118">
        <v>0</v>
      </c>
      <c r="AB11" s="118">
        <v>0</v>
      </c>
      <c r="AC11" s="117">
        <v>0</v>
      </c>
    </row>
    <row r="12" spans="1:650">
      <c r="A12" s="117" t="s">
        <v>153</v>
      </c>
      <c r="B12" s="117" t="s">
        <v>152</v>
      </c>
      <c r="C12" s="117"/>
      <c r="D12" s="117" t="s">
        <v>161</v>
      </c>
      <c r="E12" s="117"/>
      <c r="F12" s="117"/>
      <c r="G12" s="117" t="s">
        <v>179</v>
      </c>
      <c r="H12" s="117"/>
      <c r="I12" s="117" t="s">
        <v>151</v>
      </c>
      <c r="J12" s="117"/>
      <c r="K12" s="117"/>
      <c r="L12" s="117">
        <v>21.6</v>
      </c>
      <c r="M12" s="117">
        <v>0.06</v>
      </c>
      <c r="N12" s="118">
        <v>1.18</v>
      </c>
      <c r="O12" s="118">
        <v>0</v>
      </c>
      <c r="P12" s="118">
        <v>0.8503679999999999</v>
      </c>
      <c r="Q12" s="118">
        <v>7.4970000000000009E-2</v>
      </c>
      <c r="R12" s="118">
        <v>0</v>
      </c>
      <c r="S12" s="118">
        <v>0.21420000000000003</v>
      </c>
      <c r="T12" s="118">
        <v>1.296</v>
      </c>
      <c r="U12" s="118">
        <v>3.6124320539999997</v>
      </c>
      <c r="V12" s="118">
        <v>0.18062160269999999</v>
      </c>
      <c r="W12" s="118">
        <v>3.7930536566999997</v>
      </c>
      <c r="X12" s="118">
        <v>0.37930536567000001</v>
      </c>
      <c r="Y12" s="118">
        <v>4.1723590223699993</v>
      </c>
      <c r="Z12" s="118">
        <v>0</v>
      </c>
      <c r="AA12" s="118">
        <v>0</v>
      </c>
      <c r="AB12" s="118">
        <v>0</v>
      </c>
      <c r="AC12" s="117">
        <v>0</v>
      </c>
    </row>
    <row r="13" spans="1:650">
      <c r="A13" s="117" t="s">
        <v>153</v>
      </c>
      <c r="B13" s="117" t="s">
        <v>152</v>
      </c>
      <c r="C13" s="117"/>
      <c r="D13" s="117" t="s">
        <v>178</v>
      </c>
      <c r="E13" s="117"/>
      <c r="F13" s="117"/>
      <c r="G13" s="117" t="s">
        <v>179</v>
      </c>
      <c r="H13" s="117"/>
      <c r="I13" s="117" t="s">
        <v>151</v>
      </c>
      <c r="J13" s="117"/>
      <c r="K13" s="117"/>
      <c r="L13" s="117">
        <v>21.6</v>
      </c>
      <c r="M13" s="117">
        <v>0.06</v>
      </c>
      <c r="N13" s="118">
        <v>1.0900000000000001</v>
      </c>
      <c r="O13" s="118">
        <v>0</v>
      </c>
      <c r="P13" s="118">
        <v>0.8503679999999999</v>
      </c>
      <c r="Q13" s="118">
        <v>7.4970000000000009E-2</v>
      </c>
      <c r="R13" s="118">
        <v>0</v>
      </c>
      <c r="S13" s="118">
        <v>0.21420000000000003</v>
      </c>
      <c r="T13" s="118">
        <v>1.296</v>
      </c>
      <c r="U13" s="118">
        <v>3.5209772219999995</v>
      </c>
      <c r="V13" s="118">
        <v>0.17604886109999998</v>
      </c>
      <c r="W13" s="118">
        <v>3.6970260830999995</v>
      </c>
      <c r="X13" s="118">
        <v>0.36970260830999996</v>
      </c>
      <c r="Y13" s="118">
        <v>4.0667286914099998</v>
      </c>
      <c r="Z13" s="118">
        <v>0</v>
      </c>
      <c r="AA13" s="118">
        <v>0</v>
      </c>
      <c r="AB13" s="118">
        <v>0</v>
      </c>
      <c r="AC13" s="117">
        <v>0</v>
      </c>
    </row>
    <row r="14" spans="1:650">
      <c r="A14" s="117" t="s">
        <v>153</v>
      </c>
      <c r="B14" s="117" t="s">
        <v>152</v>
      </c>
      <c r="C14" s="117"/>
      <c r="D14" s="117" t="s">
        <v>178</v>
      </c>
      <c r="E14" s="117"/>
      <c r="F14" s="117"/>
      <c r="G14" s="117" t="s">
        <v>179</v>
      </c>
      <c r="H14" s="117"/>
      <c r="I14" s="117" t="s">
        <v>151</v>
      </c>
      <c r="J14" s="117"/>
      <c r="K14" s="117"/>
      <c r="L14" s="117">
        <v>21.6</v>
      </c>
      <c r="M14" s="117">
        <v>0.06</v>
      </c>
      <c r="N14" s="118">
        <v>1.0900000000000001</v>
      </c>
      <c r="O14" s="118">
        <v>0</v>
      </c>
      <c r="P14" s="118">
        <v>0.8503679999999999</v>
      </c>
      <c r="Q14" s="118">
        <v>7.4970000000000009E-2</v>
      </c>
      <c r="R14" s="118">
        <v>0</v>
      </c>
      <c r="S14" s="118">
        <v>0.21420000000000003</v>
      </c>
      <c r="T14" s="118">
        <v>1.296</v>
      </c>
      <c r="U14" s="118">
        <v>3.5209772219999995</v>
      </c>
      <c r="V14" s="118">
        <v>0.17604886109999998</v>
      </c>
      <c r="W14" s="118">
        <v>3.6970260830999995</v>
      </c>
      <c r="X14" s="118">
        <v>0.36970260830999996</v>
      </c>
      <c r="Y14" s="118">
        <v>4.0667286914099998</v>
      </c>
      <c r="Z14" s="118">
        <v>0</v>
      </c>
      <c r="AA14" s="118">
        <v>0</v>
      </c>
      <c r="AB14" s="118">
        <v>0</v>
      </c>
      <c r="AC14" s="117">
        <v>0</v>
      </c>
    </row>
    <row r="15" spans="1:650">
      <c r="A15" s="117" t="s">
        <v>153</v>
      </c>
      <c r="B15" s="117" t="s">
        <v>152</v>
      </c>
      <c r="C15" s="117"/>
      <c r="D15" s="117" t="s">
        <v>162</v>
      </c>
      <c r="E15" s="117"/>
      <c r="F15" s="117"/>
      <c r="G15" s="117" t="s">
        <v>179</v>
      </c>
      <c r="H15" s="117"/>
      <c r="I15" s="117" t="s">
        <v>151</v>
      </c>
      <c r="J15" s="117"/>
      <c r="K15" s="117"/>
      <c r="L15" s="117">
        <v>21.6</v>
      </c>
      <c r="M15" s="117">
        <v>0.06</v>
      </c>
      <c r="N15" s="118">
        <v>1.07</v>
      </c>
      <c r="O15" s="118">
        <v>0</v>
      </c>
      <c r="P15" s="118">
        <v>0.8503679999999999</v>
      </c>
      <c r="Q15" s="118">
        <v>7.4970000000000009E-2</v>
      </c>
      <c r="R15" s="118">
        <v>0</v>
      </c>
      <c r="S15" s="118">
        <v>0.21420000000000003</v>
      </c>
      <c r="T15" s="118">
        <v>1.296</v>
      </c>
      <c r="U15" s="118">
        <v>3.5082751619999999</v>
      </c>
      <c r="V15" s="118">
        <v>0.17541375810000001</v>
      </c>
      <c r="W15" s="118">
        <v>3.6836889200999998</v>
      </c>
      <c r="X15" s="118">
        <v>0.36836889201</v>
      </c>
      <c r="Y15" s="118">
        <v>4.0520578121100002</v>
      </c>
      <c r="Z15" s="118">
        <v>0</v>
      </c>
      <c r="AA15" s="118">
        <v>0</v>
      </c>
      <c r="AB15" s="118">
        <v>0</v>
      </c>
      <c r="AC15" s="117">
        <v>0</v>
      </c>
    </row>
    <row r="16" spans="1:650">
      <c r="A16" s="117" t="s">
        <v>153</v>
      </c>
      <c r="B16" s="117" t="s">
        <v>152</v>
      </c>
      <c r="C16" s="117"/>
      <c r="D16" s="117" t="s">
        <v>162</v>
      </c>
      <c r="E16" s="117"/>
      <c r="F16" s="117"/>
      <c r="G16" s="117" t="s">
        <v>179</v>
      </c>
      <c r="H16" s="117"/>
      <c r="I16" s="117" t="s">
        <v>151</v>
      </c>
      <c r="J16" s="117"/>
      <c r="K16" s="117"/>
      <c r="L16" s="117">
        <v>21.6</v>
      </c>
      <c r="M16" s="117">
        <v>0.06</v>
      </c>
      <c r="N16" s="118">
        <v>1.07</v>
      </c>
      <c r="O16" s="118">
        <v>0</v>
      </c>
      <c r="P16" s="118">
        <v>0.8503679999999999</v>
      </c>
      <c r="Q16" s="118">
        <v>7.4970000000000009E-2</v>
      </c>
      <c r="R16" s="118">
        <v>0</v>
      </c>
      <c r="S16" s="118">
        <v>0.21420000000000003</v>
      </c>
      <c r="T16" s="118">
        <v>1.296</v>
      </c>
      <c r="U16" s="118">
        <v>3.5082751619999999</v>
      </c>
      <c r="V16" s="118">
        <v>0.17541375810000001</v>
      </c>
      <c r="W16" s="118">
        <v>3.6836889200999998</v>
      </c>
      <c r="X16" s="118">
        <v>0.36836889201</v>
      </c>
      <c r="Y16" s="118">
        <v>4.0520578121100002</v>
      </c>
      <c r="Z16" s="118">
        <v>0</v>
      </c>
      <c r="AA16" s="118">
        <v>0</v>
      </c>
      <c r="AB16" s="118">
        <v>0</v>
      </c>
      <c r="AC16" s="117">
        <v>0</v>
      </c>
    </row>
    <row r="17" spans="1:29">
      <c r="A17" s="117" t="s">
        <v>153</v>
      </c>
      <c r="B17" s="117" t="s">
        <v>152</v>
      </c>
      <c r="C17" s="117"/>
      <c r="D17" s="117" t="s">
        <v>163</v>
      </c>
      <c r="E17" s="117"/>
      <c r="F17" s="117"/>
      <c r="G17" s="117" t="s">
        <v>175</v>
      </c>
      <c r="H17" s="117"/>
      <c r="I17" s="117" t="s">
        <v>151</v>
      </c>
      <c r="J17" s="117"/>
      <c r="K17" s="117"/>
      <c r="L17" s="117">
        <v>28</v>
      </c>
      <c r="M17" s="117">
        <v>0.06</v>
      </c>
      <c r="N17" s="118">
        <v>1.96</v>
      </c>
      <c r="O17" s="118">
        <v>0</v>
      </c>
      <c r="P17" s="118">
        <v>0.8503679999999999</v>
      </c>
      <c r="Q17" s="118">
        <v>7.4970000000000009E-2</v>
      </c>
      <c r="R17" s="118">
        <v>0</v>
      </c>
      <c r="S17" s="118">
        <v>0.21420000000000003</v>
      </c>
      <c r="T17" s="118">
        <v>1.68</v>
      </c>
      <c r="U17" s="118">
        <v>4.7820062700000001</v>
      </c>
      <c r="V17" s="118">
        <v>0.23910031350000002</v>
      </c>
      <c r="W17" s="118">
        <v>5.0211065834999999</v>
      </c>
      <c r="X17" s="118">
        <v>0.50211065835000002</v>
      </c>
      <c r="Y17" s="118">
        <v>5.5232172418500003</v>
      </c>
      <c r="Z17" s="118">
        <v>0</v>
      </c>
      <c r="AA17" s="118">
        <v>0</v>
      </c>
      <c r="AB17" s="118">
        <v>0</v>
      </c>
      <c r="AC17" s="117">
        <v>0</v>
      </c>
    </row>
    <row r="18" spans="1:29">
      <c r="A18" s="117" t="s">
        <v>153</v>
      </c>
      <c r="B18" s="117" t="s">
        <v>152</v>
      </c>
      <c r="C18" s="117"/>
      <c r="D18" s="117" t="s">
        <v>164</v>
      </c>
      <c r="E18" s="117"/>
      <c r="F18" s="117"/>
      <c r="G18" s="117" t="s">
        <v>175</v>
      </c>
      <c r="H18" s="117"/>
      <c r="I18" s="117" t="s">
        <v>151</v>
      </c>
      <c r="J18" s="117"/>
      <c r="K18" s="117"/>
      <c r="L18" s="117">
        <v>21.6</v>
      </c>
      <c r="M18" s="117">
        <v>0.06</v>
      </c>
      <c r="N18" s="118">
        <v>0</v>
      </c>
      <c r="O18" s="118">
        <v>0</v>
      </c>
      <c r="P18" s="118">
        <v>0.8503679999999999</v>
      </c>
      <c r="Q18" s="118">
        <v>7.4970000000000009E-2</v>
      </c>
      <c r="R18" s="118">
        <v>0</v>
      </c>
      <c r="S18" s="118">
        <v>0.21420000000000003</v>
      </c>
      <c r="T18" s="118">
        <v>1.296</v>
      </c>
      <c r="U18" s="118">
        <v>2.4355379999999998</v>
      </c>
      <c r="V18" s="118">
        <v>0.12177689999999999</v>
      </c>
      <c r="W18" s="118">
        <v>2.5573148999999997</v>
      </c>
      <c r="X18" s="118">
        <v>0.25573149000000001</v>
      </c>
      <c r="Y18" s="118">
        <v>2.8130463899999998</v>
      </c>
      <c r="Z18" s="118">
        <v>0</v>
      </c>
      <c r="AA18" s="118">
        <v>0</v>
      </c>
      <c r="AB18" s="118">
        <v>0</v>
      </c>
      <c r="AC18" s="117">
        <v>0</v>
      </c>
    </row>
    <row r="19" spans="1:29">
      <c r="A19" s="117" t="s">
        <v>153</v>
      </c>
      <c r="B19" s="117" t="s">
        <v>152</v>
      </c>
      <c r="C19" s="117"/>
      <c r="D19" s="117" t="s">
        <v>165</v>
      </c>
      <c r="E19" s="117"/>
      <c r="F19" s="117"/>
      <c r="G19" s="117" t="s">
        <v>175</v>
      </c>
      <c r="H19" s="117"/>
      <c r="I19" s="117" t="s">
        <v>151</v>
      </c>
      <c r="J19" s="117"/>
      <c r="K19" s="117"/>
      <c r="L19" s="117">
        <v>21.6</v>
      </c>
      <c r="M19" s="117">
        <v>0.06</v>
      </c>
      <c r="N19" s="118">
        <v>1.22</v>
      </c>
      <c r="O19" s="118">
        <v>0</v>
      </c>
      <c r="P19" s="118">
        <v>0.8503679999999999</v>
      </c>
      <c r="Q19" s="118">
        <v>7.4970000000000009E-2</v>
      </c>
      <c r="R19" s="118">
        <v>0</v>
      </c>
      <c r="S19" s="118">
        <v>0.21420000000000003</v>
      </c>
      <c r="T19" s="118">
        <v>1.296</v>
      </c>
      <c r="U19" s="118">
        <v>3.6530786459999995</v>
      </c>
      <c r="V19" s="118">
        <v>0.18265393229999999</v>
      </c>
      <c r="W19" s="118">
        <v>3.8357325782999996</v>
      </c>
      <c r="X19" s="118">
        <v>0.38357325782999996</v>
      </c>
      <c r="Y19" s="118">
        <v>4.2193058361299993</v>
      </c>
      <c r="Z19" s="118">
        <v>0</v>
      </c>
      <c r="AA19" s="118">
        <v>0</v>
      </c>
      <c r="AB19" s="118">
        <v>0</v>
      </c>
      <c r="AC19" s="117">
        <v>0</v>
      </c>
    </row>
    <row r="20" spans="1:29">
      <c r="A20" s="117" t="s">
        <v>153</v>
      </c>
      <c r="B20" s="117" t="s">
        <v>152</v>
      </c>
      <c r="C20" s="117"/>
      <c r="D20" s="117" t="s">
        <v>166</v>
      </c>
      <c r="E20" s="117"/>
      <c r="F20" s="117"/>
      <c r="G20" s="117" t="s">
        <v>179</v>
      </c>
      <c r="H20" s="117"/>
      <c r="I20" s="117" t="s">
        <v>151</v>
      </c>
      <c r="J20" s="117"/>
      <c r="K20" s="117"/>
      <c r="L20" s="117">
        <v>21.6</v>
      </c>
      <c r="M20" s="117">
        <v>0.06</v>
      </c>
      <c r="N20" s="118">
        <v>1.22</v>
      </c>
      <c r="O20" s="118">
        <v>0</v>
      </c>
      <c r="P20" s="118">
        <v>0.8503679999999999</v>
      </c>
      <c r="Q20" s="118">
        <v>7.4970000000000009E-2</v>
      </c>
      <c r="R20" s="118">
        <v>0</v>
      </c>
      <c r="S20" s="118">
        <v>0.21420000000000003</v>
      </c>
      <c r="T20" s="118">
        <v>1.296</v>
      </c>
      <c r="U20" s="118">
        <v>3.6530786459999995</v>
      </c>
      <c r="V20" s="118">
        <v>0.18265393229999999</v>
      </c>
      <c r="W20" s="118">
        <v>3.8357325782999996</v>
      </c>
      <c r="X20" s="118">
        <v>0.38357325782999996</v>
      </c>
      <c r="Y20" s="118">
        <v>4.2193058361299993</v>
      </c>
      <c r="Z20" s="118">
        <v>0</v>
      </c>
      <c r="AA20" s="118">
        <v>0</v>
      </c>
      <c r="AB20" s="118">
        <v>0</v>
      </c>
      <c r="AC20" s="117">
        <v>0</v>
      </c>
    </row>
    <row r="21" spans="1:29">
      <c r="A21" s="117" t="s">
        <v>153</v>
      </c>
      <c r="B21" s="117" t="s">
        <v>152</v>
      </c>
      <c r="C21" s="117"/>
      <c r="D21" s="117" t="s">
        <v>167</v>
      </c>
      <c r="E21" s="117"/>
      <c r="F21" s="117"/>
      <c r="G21" s="117" t="s">
        <v>179</v>
      </c>
      <c r="H21" s="117"/>
      <c r="I21" s="117" t="s">
        <v>151</v>
      </c>
      <c r="J21" s="117"/>
      <c r="K21" s="117"/>
      <c r="L21" s="117">
        <v>34.950000000000003</v>
      </c>
      <c r="M21" s="117">
        <v>0.06</v>
      </c>
      <c r="N21" s="118">
        <v>0</v>
      </c>
      <c r="O21" s="118">
        <v>0</v>
      </c>
      <c r="P21" s="118">
        <v>0.8503679999999999</v>
      </c>
      <c r="Q21" s="118">
        <v>7.4970000000000009E-2</v>
      </c>
      <c r="R21" s="118">
        <v>0</v>
      </c>
      <c r="S21" s="118">
        <v>0.21420000000000003</v>
      </c>
      <c r="T21" s="118">
        <v>2.097</v>
      </c>
      <c r="U21" s="118">
        <v>3.2365379999999999</v>
      </c>
      <c r="V21" s="118">
        <v>0.1618269</v>
      </c>
      <c r="W21" s="118">
        <v>3.3983648999999998</v>
      </c>
      <c r="X21" s="118">
        <v>0.33983648999999999</v>
      </c>
      <c r="Y21" s="118">
        <v>3.73820139</v>
      </c>
      <c r="Z21" s="118">
        <v>0</v>
      </c>
      <c r="AA21" s="118">
        <v>0</v>
      </c>
      <c r="AB21" s="118">
        <v>0</v>
      </c>
      <c r="AC21" s="117">
        <v>0</v>
      </c>
    </row>
    <row r="22" spans="1:29">
      <c r="A22" s="117" t="s">
        <v>153</v>
      </c>
      <c r="B22" s="117" t="s">
        <v>152</v>
      </c>
      <c r="C22" s="117"/>
      <c r="D22" s="117" t="s">
        <v>168</v>
      </c>
      <c r="E22" s="117"/>
      <c r="F22" s="117"/>
      <c r="G22" s="117" t="s">
        <v>175</v>
      </c>
      <c r="H22" s="117"/>
      <c r="I22" s="117" t="s">
        <v>151</v>
      </c>
      <c r="J22" s="117"/>
      <c r="K22" s="117"/>
      <c r="L22" s="117">
        <v>25.95</v>
      </c>
      <c r="M22" s="117">
        <v>0.06</v>
      </c>
      <c r="N22" s="118">
        <v>0</v>
      </c>
      <c r="O22" s="118">
        <v>0</v>
      </c>
      <c r="P22" s="118">
        <v>0.8503679999999999</v>
      </c>
      <c r="Q22" s="118">
        <v>7.4970000000000009E-2</v>
      </c>
      <c r="R22" s="118">
        <v>0</v>
      </c>
      <c r="S22" s="118">
        <v>0.21420000000000003</v>
      </c>
      <c r="T22" s="118">
        <v>1.5569999999999999</v>
      </c>
      <c r="U22" s="118">
        <v>2.6965379999999999</v>
      </c>
      <c r="V22" s="118">
        <v>0.1348269</v>
      </c>
      <c r="W22" s="118">
        <v>2.8313649000000001</v>
      </c>
      <c r="X22" s="118">
        <v>0.28313649000000002</v>
      </c>
      <c r="Y22" s="118">
        <v>3.11450139</v>
      </c>
      <c r="Z22" s="118">
        <v>0</v>
      </c>
      <c r="AA22" s="118">
        <v>0</v>
      </c>
      <c r="AB22" s="118">
        <v>0</v>
      </c>
      <c r="AC22" s="117">
        <v>0</v>
      </c>
    </row>
    <row r="23" spans="1:29">
      <c r="A23" s="117" t="s">
        <v>153</v>
      </c>
      <c r="B23" s="117" t="s">
        <v>152</v>
      </c>
      <c r="C23" s="117"/>
      <c r="D23" s="117" t="s">
        <v>169</v>
      </c>
      <c r="E23" s="117"/>
      <c r="F23" s="117"/>
      <c r="G23" s="117" t="s">
        <v>175</v>
      </c>
      <c r="H23" s="117"/>
      <c r="I23" s="117" t="s">
        <v>151</v>
      </c>
      <c r="J23" s="117"/>
      <c r="K23" s="117"/>
      <c r="L23" s="117">
        <v>34.950000000000003</v>
      </c>
      <c r="M23" s="117">
        <v>0.06</v>
      </c>
      <c r="N23" s="118">
        <v>0</v>
      </c>
      <c r="O23" s="118">
        <v>0</v>
      </c>
      <c r="P23" s="118">
        <v>0.8503679999999999</v>
      </c>
      <c r="Q23" s="118">
        <v>0</v>
      </c>
      <c r="R23" s="118">
        <v>0</v>
      </c>
      <c r="S23" s="118">
        <v>0.21420000000000003</v>
      </c>
      <c r="T23" s="118">
        <v>2.097</v>
      </c>
      <c r="U23" s="118">
        <v>3.1615679999999999</v>
      </c>
      <c r="V23" s="118">
        <v>0.15807840000000001</v>
      </c>
      <c r="W23" s="118">
        <v>3.3196463999999999</v>
      </c>
      <c r="X23" s="118">
        <v>0.33196464000000003</v>
      </c>
      <c r="Y23" s="118">
        <v>3.6516110399999997</v>
      </c>
      <c r="Z23" s="118">
        <v>0</v>
      </c>
      <c r="AA23" s="118">
        <v>0</v>
      </c>
      <c r="AB23" s="118">
        <v>0</v>
      </c>
      <c r="AC23" s="117">
        <v>0</v>
      </c>
    </row>
    <row r="24" spans="1:29">
      <c r="A24" s="117" t="s">
        <v>153</v>
      </c>
      <c r="B24" s="117" t="s">
        <v>152</v>
      </c>
      <c r="C24" s="117"/>
      <c r="D24" s="117" t="s">
        <v>170</v>
      </c>
      <c r="E24" s="117"/>
      <c r="F24" s="117"/>
      <c r="G24" s="117" t="s">
        <v>176</v>
      </c>
      <c r="H24" s="117"/>
      <c r="I24" s="117" t="s">
        <v>151</v>
      </c>
      <c r="J24" s="117"/>
      <c r="K24" s="117"/>
      <c r="L24" s="117">
        <v>34.950000000000003</v>
      </c>
      <c r="M24" s="117">
        <v>0.06</v>
      </c>
      <c r="N24" s="118">
        <v>0</v>
      </c>
      <c r="O24" s="118">
        <v>0</v>
      </c>
      <c r="P24" s="118">
        <v>0.8503679999999999</v>
      </c>
      <c r="Q24" s="118">
        <v>7.4970000000000009E-2</v>
      </c>
      <c r="R24" s="118">
        <v>0</v>
      </c>
      <c r="S24" s="118">
        <v>0.21420000000000003</v>
      </c>
      <c r="T24" s="118">
        <v>2.097</v>
      </c>
      <c r="U24" s="118">
        <v>3.2365379999999999</v>
      </c>
      <c r="V24" s="118">
        <v>0.1618269</v>
      </c>
      <c r="W24" s="118">
        <v>3.3983648999999998</v>
      </c>
      <c r="X24" s="118">
        <v>0.33983648999999999</v>
      </c>
      <c r="Y24" s="118">
        <v>3.73820139</v>
      </c>
      <c r="Z24" s="118">
        <v>0</v>
      </c>
      <c r="AA24" s="118">
        <v>0</v>
      </c>
      <c r="AB24" s="118">
        <v>0</v>
      </c>
      <c r="AC24" s="117">
        <v>0</v>
      </c>
    </row>
    <row r="25" spans="1:29">
      <c r="A25" s="117" t="s">
        <v>153</v>
      </c>
      <c r="B25" s="117" t="s">
        <v>152</v>
      </c>
      <c r="C25" s="117"/>
      <c r="D25" s="117" t="s">
        <v>170</v>
      </c>
      <c r="E25" s="117"/>
      <c r="F25" s="117"/>
      <c r="G25" s="117" t="s">
        <v>179</v>
      </c>
      <c r="H25" s="117"/>
      <c r="I25" s="117" t="s">
        <v>151</v>
      </c>
      <c r="J25" s="117"/>
      <c r="K25" s="117"/>
      <c r="L25" s="117">
        <v>21.6</v>
      </c>
      <c r="M25" s="117">
        <v>0.06</v>
      </c>
      <c r="N25" s="118">
        <v>1.07</v>
      </c>
      <c r="O25" s="118">
        <v>0</v>
      </c>
      <c r="P25" s="118">
        <v>0.8503679999999999</v>
      </c>
      <c r="Q25" s="118">
        <v>7.4970000000000009E-2</v>
      </c>
      <c r="R25" s="118">
        <v>0</v>
      </c>
      <c r="S25" s="118">
        <v>0.21420000000000003</v>
      </c>
      <c r="T25" s="118">
        <v>1.296</v>
      </c>
      <c r="U25" s="118">
        <v>3.5025592350000001</v>
      </c>
      <c r="V25" s="118">
        <v>0.17512796175000001</v>
      </c>
      <c r="W25" s="118">
        <v>3.67768719675</v>
      </c>
      <c r="X25" s="118">
        <v>0.36776871967500002</v>
      </c>
      <c r="Y25" s="118">
        <v>4.0454559164250004</v>
      </c>
      <c r="Z25" s="118">
        <v>0</v>
      </c>
      <c r="AA25" s="118">
        <v>0</v>
      </c>
      <c r="AB25" s="118">
        <v>0</v>
      </c>
      <c r="AC25" s="117">
        <v>0</v>
      </c>
    </row>
    <row r="26" spans="1:29">
      <c r="A26" s="117" t="s">
        <v>153</v>
      </c>
      <c r="B26" s="117" t="s">
        <v>152</v>
      </c>
      <c r="C26" s="117"/>
      <c r="D26" s="117" t="s">
        <v>170</v>
      </c>
      <c r="E26" s="117"/>
      <c r="F26" s="117"/>
      <c r="G26" s="117"/>
      <c r="H26" s="117"/>
      <c r="I26" s="117" t="s">
        <v>151</v>
      </c>
      <c r="J26" s="117"/>
      <c r="K26" s="117"/>
      <c r="L26" s="117"/>
      <c r="M26" s="117">
        <v>0.06</v>
      </c>
      <c r="N26" s="118">
        <v>0</v>
      </c>
      <c r="O26" s="118">
        <v>0</v>
      </c>
      <c r="P26" s="118">
        <v>0.8503679999999999</v>
      </c>
      <c r="Q26" s="118">
        <v>7.4970000000000009E-2</v>
      </c>
      <c r="R26" s="118">
        <v>0</v>
      </c>
      <c r="S26" s="118">
        <v>0.21420000000000003</v>
      </c>
      <c r="T26" s="118">
        <v>0</v>
      </c>
      <c r="U26" s="118">
        <v>1.1395379999999999</v>
      </c>
      <c r="V26" s="118">
        <v>5.6976899999999997E-2</v>
      </c>
      <c r="W26" s="118">
        <v>1.1965148999999999</v>
      </c>
      <c r="X26" s="118">
        <v>0.11965149</v>
      </c>
      <c r="Y26" s="118">
        <v>1.31616639</v>
      </c>
      <c r="Z26" s="118">
        <v>0</v>
      </c>
      <c r="AA26" s="118">
        <v>0</v>
      </c>
      <c r="AB26" s="118">
        <v>0</v>
      </c>
      <c r="AC26" s="117">
        <v>0</v>
      </c>
    </row>
    <row r="27" spans="1:29">
      <c r="A27" s="117"/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7"/>
    </row>
  </sheetData>
  <sheetProtection formatCells="0" formatColumns="0" formatRows="0" insertHyperlinks="0" sort="0" autoFilter="0" pivotTables="0"/>
  <protectedRanges>
    <protectedRange sqref="A9:AB1048576 AC9:XFD1048576" name="Range1"/>
  </protectedRanges>
  <mergeCells count="4">
    <mergeCell ref="J2:Q2"/>
    <mergeCell ref="A3:S3"/>
    <mergeCell ref="A4:D5"/>
    <mergeCell ref="A2:I2"/>
  </mergeCells>
  <pageMargins left="0.75" right="0.75" top="1" bottom="1" header="0.5" footer="0.5"/>
  <pageSetup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autoPict="0" r:id="rId5">
            <anchor moveWithCells="1">
              <from>
                <xdr:col>0</xdr:col>
                <xdr:colOff>28575</xdr:colOff>
                <xdr:row>3</xdr:row>
                <xdr:rowOff>9525</xdr:rowOff>
              </from>
              <to>
                <xdr:col>1</xdr:col>
                <xdr:colOff>57150</xdr:colOff>
                <xdr:row>4</xdr:row>
                <xdr:rowOff>228600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print="0" autoFill="0" autoLine="0" r:id="rId7">
            <anchor moveWithCells="1">
              <from>
                <xdr:col>1</xdr:col>
                <xdr:colOff>361950</xdr:colOff>
                <xdr:row>3</xdr:row>
                <xdr:rowOff>9525</xdr:rowOff>
              </from>
              <to>
                <xdr:col>2</xdr:col>
                <xdr:colOff>161925</xdr:colOff>
                <xdr:row>4</xdr:row>
                <xdr:rowOff>238125</xdr:rowOff>
              </to>
            </anchor>
          </controlPr>
        </control>
      </mc:Choice>
      <mc:Fallback>
        <control shapeId="3075" r:id="rId6" name="CommandButton2"/>
      </mc:Fallback>
    </mc:AlternateContent>
    <mc:AlternateContent xmlns:mc="http://schemas.openxmlformats.org/markup-compatibility/2006">
      <mc:Choice Requires="x14">
        <control shapeId="3076" r:id="rId8" name="CommandButton3">
          <controlPr defaultSize="0" print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66675</xdr:colOff>
                <xdr:row>4</xdr:row>
                <xdr:rowOff>238125</xdr:rowOff>
              </to>
            </anchor>
          </controlPr>
        </control>
      </mc:Choice>
      <mc:Fallback>
        <control shapeId="3076" r:id="rId8" name="CommandButton3"/>
      </mc:Fallback>
    </mc:AlternateContent>
  </control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L231"/>
  <sheetViews>
    <sheetView zoomScale="90" zoomScaleNormal="90" workbookViewId="0">
      <selection activeCell="I12" sqref="I12"/>
    </sheetView>
  </sheetViews>
  <sheetFormatPr defaultColWidth="8.85546875" defaultRowHeight="15"/>
  <cols>
    <col min="1" max="1" width="15.140625" style="299" customWidth="1"/>
    <col min="2" max="2" width="22.7109375" style="299" customWidth="1"/>
    <col min="3" max="3" width="51.42578125" style="299" customWidth="1"/>
    <col min="4" max="4" width="14.7109375" style="126" bestFit="1" customWidth="1"/>
    <col min="5" max="5" width="15.42578125" style="126" customWidth="1"/>
    <col min="6" max="8" width="8.85546875" style="126"/>
    <col min="9" max="9" width="11.42578125" style="126" customWidth="1"/>
    <col min="10" max="10" width="8.85546875" style="126"/>
    <col min="11" max="11" width="23.85546875" style="126" customWidth="1"/>
    <col min="12" max="16384" width="8.85546875" style="126"/>
  </cols>
  <sheetData>
    <row r="1" spans="1:11" ht="18" thickBot="1">
      <c r="A1" s="1"/>
      <c r="B1" s="315"/>
      <c r="C1" s="315"/>
      <c r="D1" s="2"/>
      <c r="E1" s="2"/>
      <c r="F1" s="3"/>
      <c r="G1" s="4"/>
      <c r="H1" s="4"/>
      <c r="I1" s="5"/>
      <c r="J1" s="6"/>
      <c r="K1" s="7"/>
    </row>
    <row r="2" spans="1:11" ht="18" thickBot="1">
      <c r="A2" s="686" t="s">
        <v>0</v>
      </c>
      <c r="B2" s="687"/>
      <c r="C2" s="687"/>
      <c r="D2" s="687"/>
      <c r="E2" s="687"/>
      <c r="F2" s="687"/>
      <c r="G2" s="687"/>
      <c r="H2" s="687"/>
      <c r="I2" s="687"/>
      <c r="J2" s="687"/>
      <c r="K2" s="688"/>
    </row>
    <row r="3" spans="1:11" ht="17.25">
      <c r="A3" s="8"/>
      <c r="B3" s="316"/>
      <c r="C3" s="316"/>
      <c r="D3" s="9"/>
      <c r="E3" s="9"/>
      <c r="F3" s="10"/>
      <c r="G3" s="195"/>
      <c r="H3" s="196"/>
      <c r="I3" s="197"/>
      <c r="J3" s="198"/>
      <c r="K3" s="12"/>
    </row>
    <row r="4" spans="1:11" ht="15.75">
      <c r="A4" s="155" t="s">
        <v>1</v>
      </c>
      <c r="B4" s="412" t="s">
        <v>87</v>
      </c>
      <c r="C4" s="317"/>
      <c r="D4" s="128" t="s">
        <v>2</v>
      </c>
      <c r="E4" s="129" t="s">
        <v>92</v>
      </c>
      <c r="F4" s="72"/>
      <c r="G4" s="199"/>
      <c r="H4" s="13"/>
      <c r="I4" s="71"/>
      <c r="J4" s="200"/>
      <c r="K4" s="14"/>
    </row>
    <row r="5" spans="1:11" ht="15.75">
      <c r="A5" s="155" t="s">
        <v>3</v>
      </c>
      <c r="B5" s="412" t="s">
        <v>88</v>
      </c>
      <c r="C5" s="317"/>
      <c r="D5" s="128" t="s">
        <v>4</v>
      </c>
      <c r="E5" s="129" t="s">
        <v>93</v>
      </c>
      <c r="F5" s="15"/>
      <c r="G5" s="201"/>
      <c r="H5" s="16" t="s">
        <v>99</v>
      </c>
      <c r="I5" s="127"/>
      <c r="J5" s="200"/>
      <c r="K5" s="14"/>
    </row>
    <row r="6" spans="1:11" ht="15.75">
      <c r="A6" s="155" t="s">
        <v>5</v>
      </c>
      <c r="B6" s="413" t="s">
        <v>90</v>
      </c>
      <c r="C6" s="318"/>
      <c r="D6" s="128" t="s">
        <v>6</v>
      </c>
      <c r="E6" s="130" t="s">
        <v>94</v>
      </c>
      <c r="F6" s="17"/>
      <c r="G6" s="202"/>
      <c r="H6" s="18"/>
      <c r="I6" s="127"/>
      <c r="J6" s="200"/>
      <c r="K6" s="14"/>
    </row>
    <row r="7" spans="1:11" ht="16.5" thickBot="1">
      <c r="A7" s="155" t="s">
        <v>7</v>
      </c>
      <c r="B7" s="131" t="s">
        <v>89</v>
      </c>
      <c r="C7" s="132"/>
      <c r="D7" s="128" t="s">
        <v>8</v>
      </c>
      <c r="E7" s="129" t="s">
        <v>95</v>
      </c>
      <c r="F7" s="19"/>
      <c r="G7" s="203"/>
      <c r="H7" s="204"/>
      <c r="I7" s="205"/>
      <c r="J7" s="206"/>
      <c r="K7" s="14"/>
    </row>
    <row r="8" spans="1:11" ht="16.5" thickBot="1">
      <c r="A8" s="155" t="s">
        <v>80</v>
      </c>
      <c r="B8" s="131" t="s">
        <v>91</v>
      </c>
      <c r="C8" s="132"/>
      <c r="D8" s="128" t="s">
        <v>81</v>
      </c>
      <c r="E8" s="133" t="s">
        <v>96</v>
      </c>
      <c r="F8" s="21"/>
      <c r="G8" s="410" t="s">
        <v>74</v>
      </c>
      <c r="H8" s="125"/>
      <c r="I8" s="411" t="s">
        <v>75</v>
      </c>
      <c r="J8" s="71"/>
      <c r="K8" s="14"/>
    </row>
    <row r="9" spans="1:11" ht="16.5" thickBot="1">
      <c r="A9" s="155" t="s">
        <v>98</v>
      </c>
      <c r="B9" s="134"/>
      <c r="C9" s="135"/>
      <c r="D9" s="136" t="s">
        <v>86</v>
      </c>
      <c r="E9" s="130" t="s">
        <v>97</v>
      </c>
      <c r="F9" s="124"/>
      <c r="G9" s="379"/>
      <c r="H9" s="20"/>
      <c r="I9" s="380">
        <v>0.06</v>
      </c>
      <c r="J9" s="71"/>
      <c r="K9" s="14"/>
    </row>
    <row r="10" spans="1:11" ht="18" thickBot="1">
      <c r="A10" s="414"/>
      <c r="B10" s="319"/>
      <c r="C10" s="319"/>
      <c r="D10" s="11"/>
      <c r="E10" s="22"/>
      <c r="F10" s="23"/>
      <c r="G10" s="383"/>
      <c r="H10" s="384"/>
      <c r="I10" s="24"/>
      <c r="J10" s="25"/>
      <c r="K10" s="385"/>
    </row>
    <row r="11" spans="1:11" ht="16.5" thickBot="1">
      <c r="A11" s="239" t="s">
        <v>9</v>
      </c>
      <c r="B11" s="320"/>
      <c r="C11" s="320"/>
      <c r="D11" s="240"/>
      <c r="E11" s="240"/>
      <c r="F11" s="241"/>
      <c r="G11" s="257"/>
      <c r="H11" s="258"/>
      <c r="I11" s="235"/>
      <c r="J11" s="258"/>
      <c r="K11" s="259"/>
    </row>
    <row r="12" spans="1:11" ht="15.75" thickBot="1">
      <c r="A12" s="415" t="s">
        <v>10</v>
      </c>
      <c r="B12" s="416" t="s">
        <v>11</v>
      </c>
      <c r="C12" s="236" t="s">
        <v>82</v>
      </c>
      <c r="D12" s="237"/>
      <c r="E12" s="301" t="s">
        <v>13</v>
      </c>
      <c r="F12" s="238" t="s">
        <v>85</v>
      </c>
      <c r="G12" s="233" t="s">
        <v>14</v>
      </c>
      <c r="H12" s="373" t="s">
        <v>15</v>
      </c>
      <c r="I12" s="234" t="s">
        <v>20</v>
      </c>
      <c r="J12" s="374" t="s">
        <v>16</v>
      </c>
      <c r="K12" s="242" t="s">
        <v>17</v>
      </c>
    </row>
    <row r="13" spans="1:11" ht="16.5" thickBot="1">
      <c r="A13" s="675" t="s">
        <v>111</v>
      </c>
      <c r="B13" s="676"/>
      <c r="C13" s="676"/>
      <c r="D13" s="676"/>
      <c r="E13" s="676"/>
      <c r="F13" s="676"/>
      <c r="G13" s="676"/>
      <c r="H13" s="378">
        <v>0.05</v>
      </c>
      <c r="I13" s="450" t="s">
        <v>128</v>
      </c>
      <c r="J13" s="378">
        <v>0.05</v>
      </c>
      <c r="K13" s="368"/>
    </row>
    <row r="14" spans="1:11">
      <c r="A14" s="252"/>
      <c r="B14" s="417"/>
      <c r="C14" s="314"/>
      <c r="D14" s="251"/>
      <c r="E14" s="253"/>
      <c r="F14" s="254"/>
      <c r="G14" s="255"/>
      <c r="H14" s="228">
        <f t="shared" ref="H14:H20" si="0">G14*($H$13+1)</f>
        <v>0</v>
      </c>
      <c r="I14" s="256"/>
      <c r="J14" s="230">
        <f t="shared" ref="J14:J20" si="1">I14*($J$13+1)</f>
        <v>0</v>
      </c>
      <c r="K14" s="231">
        <f t="shared" ref="K14:K20" si="2">H14*J14</f>
        <v>0</v>
      </c>
    </row>
    <row r="15" spans="1:11">
      <c r="A15" s="252"/>
      <c r="B15" s="417"/>
      <c r="C15" s="314"/>
      <c r="D15" s="251"/>
      <c r="E15" s="253"/>
      <c r="F15" s="254"/>
      <c r="G15" s="255"/>
      <c r="H15" s="228">
        <f t="shared" si="0"/>
        <v>0</v>
      </c>
      <c r="I15" s="256"/>
      <c r="J15" s="230">
        <f t="shared" si="1"/>
        <v>0</v>
      </c>
      <c r="K15" s="231">
        <f t="shared" si="2"/>
        <v>0</v>
      </c>
    </row>
    <row r="16" spans="1:11">
      <c r="A16" s="252"/>
      <c r="B16" s="417"/>
      <c r="C16" s="314"/>
      <c r="D16" s="251"/>
      <c r="E16" s="253"/>
      <c r="F16" s="254"/>
      <c r="G16" s="255"/>
      <c r="H16" s="228">
        <f t="shared" si="0"/>
        <v>0</v>
      </c>
      <c r="I16" s="256"/>
      <c r="J16" s="230">
        <f t="shared" si="1"/>
        <v>0</v>
      </c>
      <c r="K16" s="231">
        <f t="shared" si="2"/>
        <v>0</v>
      </c>
    </row>
    <row r="17" spans="1:11">
      <c r="A17" s="137"/>
      <c r="B17" s="418"/>
      <c r="C17" s="314"/>
      <c r="D17" s="251"/>
      <c r="E17" s="143"/>
      <c r="F17" s="139"/>
      <c r="G17" s="144"/>
      <c r="H17" s="228">
        <f t="shared" si="0"/>
        <v>0</v>
      </c>
      <c r="I17" s="145"/>
      <c r="J17" s="230">
        <f t="shared" si="1"/>
        <v>0</v>
      </c>
      <c r="K17" s="231">
        <f t="shared" si="2"/>
        <v>0</v>
      </c>
    </row>
    <row r="18" spans="1:11">
      <c r="A18" s="137"/>
      <c r="B18" s="419"/>
      <c r="C18" s="152"/>
      <c r="D18" s="138"/>
      <c r="E18" s="146"/>
      <c r="F18" s="139"/>
      <c r="G18" s="144"/>
      <c r="H18" s="228">
        <f t="shared" si="0"/>
        <v>0</v>
      </c>
      <c r="I18" s="145"/>
      <c r="J18" s="230">
        <f t="shared" si="1"/>
        <v>0</v>
      </c>
      <c r="K18" s="231">
        <f t="shared" si="2"/>
        <v>0</v>
      </c>
    </row>
    <row r="19" spans="1:11">
      <c r="A19" s="137"/>
      <c r="B19" s="149"/>
      <c r="C19" s="152"/>
      <c r="D19" s="138"/>
      <c r="E19" s="147"/>
      <c r="F19" s="139"/>
      <c r="G19" s="144"/>
      <c r="H19" s="228">
        <f t="shared" si="0"/>
        <v>0</v>
      </c>
      <c r="I19" s="145"/>
      <c r="J19" s="230">
        <f t="shared" si="1"/>
        <v>0</v>
      </c>
      <c r="K19" s="231">
        <f t="shared" si="2"/>
        <v>0</v>
      </c>
    </row>
    <row r="20" spans="1:11">
      <c r="A20" s="137"/>
      <c r="B20" s="149"/>
      <c r="C20" s="152"/>
      <c r="D20" s="138"/>
      <c r="E20" s="147"/>
      <c r="F20" s="139"/>
      <c r="G20" s="144"/>
      <c r="H20" s="228">
        <f t="shared" si="0"/>
        <v>0</v>
      </c>
      <c r="I20" s="145"/>
      <c r="J20" s="230">
        <f t="shared" si="1"/>
        <v>0</v>
      </c>
      <c r="K20" s="231">
        <f t="shared" si="2"/>
        <v>0</v>
      </c>
    </row>
    <row r="21" spans="1:11" ht="16.5" thickBot="1">
      <c r="A21" s="677" t="s">
        <v>115</v>
      </c>
      <c r="B21" s="678"/>
      <c r="C21" s="678"/>
      <c r="D21" s="678"/>
      <c r="E21" s="678"/>
      <c r="F21" s="678"/>
      <c r="G21" s="678"/>
      <c r="H21" s="679"/>
      <c r="I21" s="678"/>
      <c r="J21" s="680"/>
      <c r="K21" s="232">
        <f>SUM(K14:K20)</f>
        <v>0</v>
      </c>
    </row>
    <row r="22" spans="1:11" ht="16.5" thickBot="1">
      <c r="A22" s="675" t="s">
        <v>112</v>
      </c>
      <c r="B22" s="676"/>
      <c r="C22" s="676"/>
      <c r="D22" s="676"/>
      <c r="E22" s="676"/>
      <c r="F22" s="676"/>
      <c r="G22" s="676"/>
      <c r="H22" s="378">
        <v>0.05</v>
      </c>
      <c r="I22" s="367"/>
      <c r="J22" s="378">
        <v>0.05</v>
      </c>
      <c r="K22" s="368"/>
    </row>
    <row r="23" spans="1:11" ht="15.75">
      <c r="A23" s="137"/>
      <c r="B23" s="420"/>
      <c r="C23" s="112"/>
      <c r="D23" s="113"/>
      <c r="E23" s="113"/>
      <c r="F23" s="114"/>
      <c r="G23" s="115"/>
      <c r="H23" s="228">
        <f t="shared" ref="H23:H29" si="3">G23*($H$22+1)</f>
        <v>0</v>
      </c>
      <c r="I23" s="26"/>
      <c r="J23" s="230">
        <f t="shared" ref="J23:J29" si="4">I23*($J$22+1)</f>
        <v>0</v>
      </c>
      <c r="K23" s="142">
        <f t="shared" ref="K23:K29" si="5">H23*J23</f>
        <v>0</v>
      </c>
    </row>
    <row r="24" spans="1:11" ht="15.75">
      <c r="A24" s="137"/>
      <c r="B24" s="420"/>
      <c r="C24" s="112"/>
      <c r="D24" s="113"/>
      <c r="E24" s="113"/>
      <c r="F24" s="114"/>
      <c r="G24" s="115"/>
      <c r="H24" s="140">
        <f t="shared" si="3"/>
        <v>0</v>
      </c>
      <c r="I24" s="26"/>
      <c r="J24" s="141">
        <f t="shared" si="4"/>
        <v>0</v>
      </c>
      <c r="K24" s="142">
        <f t="shared" si="5"/>
        <v>0</v>
      </c>
    </row>
    <row r="25" spans="1:11" ht="15.75">
      <c r="A25" s="137"/>
      <c r="B25" s="420"/>
      <c r="C25" s="112"/>
      <c r="D25" s="113"/>
      <c r="E25" s="113"/>
      <c r="F25" s="114"/>
      <c r="G25" s="115"/>
      <c r="H25" s="140">
        <f t="shared" si="3"/>
        <v>0</v>
      </c>
      <c r="I25" s="26"/>
      <c r="J25" s="141">
        <f t="shared" si="4"/>
        <v>0</v>
      </c>
      <c r="K25" s="142">
        <f t="shared" si="5"/>
        <v>0</v>
      </c>
    </row>
    <row r="26" spans="1:11" ht="15.75">
      <c r="A26" s="137"/>
      <c r="B26" s="420"/>
      <c r="C26" s="112"/>
      <c r="D26" s="113"/>
      <c r="E26" s="113"/>
      <c r="F26" s="114"/>
      <c r="G26" s="115"/>
      <c r="H26" s="140">
        <f t="shared" si="3"/>
        <v>0</v>
      </c>
      <c r="I26" s="26"/>
      <c r="J26" s="141">
        <f t="shared" si="4"/>
        <v>0</v>
      </c>
      <c r="K26" s="142">
        <f t="shared" si="5"/>
        <v>0</v>
      </c>
    </row>
    <row r="27" spans="1:11" ht="15.75">
      <c r="A27" s="137"/>
      <c r="B27" s="420"/>
      <c r="C27" s="112"/>
      <c r="D27" s="113"/>
      <c r="E27" s="113"/>
      <c r="F27" s="114"/>
      <c r="G27" s="115"/>
      <c r="H27" s="140">
        <f t="shared" si="3"/>
        <v>0</v>
      </c>
      <c r="I27" s="26"/>
      <c r="J27" s="141">
        <f t="shared" si="4"/>
        <v>0</v>
      </c>
      <c r="K27" s="142">
        <f t="shared" si="5"/>
        <v>0</v>
      </c>
    </row>
    <row r="28" spans="1:11" ht="15.75">
      <c r="A28" s="137"/>
      <c r="B28" s="420"/>
      <c r="C28" s="112"/>
      <c r="D28" s="113"/>
      <c r="E28" s="113"/>
      <c r="F28" s="114"/>
      <c r="G28" s="115"/>
      <c r="H28" s="140">
        <f t="shared" si="3"/>
        <v>0</v>
      </c>
      <c r="I28" s="26"/>
      <c r="J28" s="141">
        <f t="shared" si="4"/>
        <v>0</v>
      </c>
      <c r="K28" s="142">
        <f t="shared" si="5"/>
        <v>0</v>
      </c>
    </row>
    <row r="29" spans="1:11" ht="15.75">
      <c r="A29" s="137"/>
      <c r="B29" s="420"/>
      <c r="C29" s="112"/>
      <c r="D29" s="113"/>
      <c r="E29" s="113"/>
      <c r="F29" s="114"/>
      <c r="G29" s="115"/>
      <c r="H29" s="140">
        <f t="shared" si="3"/>
        <v>0</v>
      </c>
      <c r="I29" s="26"/>
      <c r="J29" s="141">
        <f t="shared" si="4"/>
        <v>0</v>
      </c>
      <c r="K29" s="142">
        <f t="shared" si="5"/>
        <v>0</v>
      </c>
    </row>
    <row r="30" spans="1:11" ht="16.5" thickBot="1">
      <c r="A30" s="677" t="s">
        <v>116</v>
      </c>
      <c r="B30" s="678"/>
      <c r="C30" s="678"/>
      <c r="D30" s="678"/>
      <c r="E30" s="678"/>
      <c r="F30" s="678"/>
      <c r="G30" s="678"/>
      <c r="H30" s="678"/>
      <c r="I30" s="678"/>
      <c r="J30" s="681"/>
      <c r="K30" s="232">
        <f>SUM(K23:K29)</f>
        <v>0</v>
      </c>
    </row>
    <row r="31" spans="1:11" ht="16.5" thickBot="1">
      <c r="A31" s="421"/>
      <c r="B31" s="422"/>
      <c r="C31" s="321"/>
      <c r="D31" s="27"/>
      <c r="E31" s="27"/>
      <c r="F31" s="28"/>
      <c r="G31" s="29" t="s">
        <v>18</v>
      </c>
      <c r="H31" s="30"/>
      <c r="I31" s="29"/>
      <c r="J31" s="31"/>
      <c r="K31" s="194">
        <f>K21+K30</f>
        <v>0</v>
      </c>
    </row>
    <row r="32" spans="1:11" ht="16.5" thickBot="1">
      <c r="A32" s="243" t="s">
        <v>19</v>
      </c>
      <c r="B32" s="423"/>
      <c r="C32" s="322"/>
      <c r="D32" s="244"/>
      <c r="E32" s="244"/>
      <c r="F32" s="245"/>
      <c r="G32" s="246"/>
      <c r="H32" s="247"/>
      <c r="I32" s="248"/>
      <c r="J32" s="247"/>
      <c r="K32" s="249"/>
    </row>
    <row r="33" spans="1:11" ht="16.5" thickBot="1">
      <c r="A33" s="424" t="s">
        <v>10</v>
      </c>
      <c r="B33" s="304" t="s">
        <v>19</v>
      </c>
      <c r="C33" s="304" t="s">
        <v>12</v>
      </c>
      <c r="D33" s="260"/>
      <c r="E33" s="684" t="s">
        <v>13</v>
      </c>
      <c r="F33" s="685"/>
      <c r="G33" s="261" t="s">
        <v>14</v>
      </c>
      <c r="H33" s="261" t="s">
        <v>15</v>
      </c>
      <c r="I33" s="262" t="s">
        <v>20</v>
      </c>
      <c r="J33" s="262" t="s">
        <v>16</v>
      </c>
      <c r="K33" s="263" t="s">
        <v>17</v>
      </c>
    </row>
    <row r="34" spans="1:11" ht="16.5" thickBot="1">
      <c r="A34" s="675" t="s">
        <v>111</v>
      </c>
      <c r="B34" s="676"/>
      <c r="C34" s="676"/>
      <c r="D34" s="676"/>
      <c r="E34" s="676"/>
      <c r="F34" s="676"/>
      <c r="G34" s="676"/>
      <c r="H34" s="378">
        <v>0.03</v>
      </c>
      <c r="I34" s="367"/>
      <c r="J34" s="378">
        <v>0.15</v>
      </c>
      <c r="K34" s="368"/>
    </row>
    <row r="35" spans="1:11" ht="15.75">
      <c r="A35" s="225"/>
      <c r="B35" s="227"/>
      <c r="C35" s="226"/>
      <c r="D35" s="351"/>
      <c r="E35" s="364"/>
      <c r="F35" s="365"/>
      <c r="G35" s="353"/>
      <c r="H35" s="228">
        <f t="shared" ref="H35:H46" si="6">G35*($H$34+1)</f>
        <v>0</v>
      </c>
      <c r="I35" s="229"/>
      <c r="J35" s="230">
        <f t="shared" ref="J35:J46" si="7">I35*($J$34+1)</f>
        <v>0</v>
      </c>
      <c r="K35" s="231">
        <f t="shared" ref="K35:K46" si="8">H35*J35</f>
        <v>0</v>
      </c>
    </row>
    <row r="36" spans="1:11" ht="15.75">
      <c r="A36" s="225"/>
      <c r="B36" s="419"/>
      <c r="C36" s="148"/>
      <c r="D36" s="267"/>
      <c r="E36" s="274"/>
      <c r="F36" s="250"/>
      <c r="G36" s="272"/>
      <c r="H36" s="228">
        <f t="shared" si="6"/>
        <v>0</v>
      </c>
      <c r="I36" s="150"/>
      <c r="J36" s="230">
        <f t="shared" si="7"/>
        <v>0</v>
      </c>
      <c r="K36" s="231">
        <f t="shared" si="8"/>
        <v>0</v>
      </c>
    </row>
    <row r="37" spans="1:11" ht="15.75">
      <c r="A37" s="225"/>
      <c r="B37" s="166"/>
      <c r="C37" s="148"/>
      <c r="D37" s="267"/>
      <c r="E37" s="360"/>
      <c r="F37" s="361"/>
      <c r="G37" s="272"/>
      <c r="H37" s="228">
        <f t="shared" si="6"/>
        <v>0</v>
      </c>
      <c r="I37" s="151"/>
      <c r="J37" s="230">
        <f t="shared" si="7"/>
        <v>0</v>
      </c>
      <c r="K37" s="231">
        <f t="shared" si="8"/>
        <v>0</v>
      </c>
    </row>
    <row r="38" spans="1:11" ht="15.75">
      <c r="A38" s="225"/>
      <c r="B38" s="419"/>
      <c r="C38" s="152"/>
      <c r="D38" s="352"/>
      <c r="E38" s="264"/>
      <c r="F38" s="265"/>
      <c r="G38" s="272"/>
      <c r="H38" s="228">
        <f t="shared" si="6"/>
        <v>0</v>
      </c>
      <c r="I38" s="153"/>
      <c r="J38" s="230">
        <f t="shared" si="7"/>
        <v>0</v>
      </c>
      <c r="K38" s="231">
        <f t="shared" si="8"/>
        <v>0</v>
      </c>
    </row>
    <row r="39" spans="1:11" ht="15.75">
      <c r="A39" s="225"/>
      <c r="B39" s="419"/>
      <c r="C39" s="266"/>
      <c r="D39" s="268"/>
      <c r="E39" s="362"/>
      <c r="F39" s="363"/>
      <c r="G39" s="354"/>
      <c r="H39" s="228">
        <f t="shared" si="6"/>
        <v>0</v>
      </c>
      <c r="I39" s="154"/>
      <c r="J39" s="230">
        <f t="shared" si="7"/>
        <v>0</v>
      </c>
      <c r="K39" s="231">
        <f t="shared" si="8"/>
        <v>0</v>
      </c>
    </row>
    <row r="40" spans="1:11" ht="15.75">
      <c r="A40" s="225"/>
      <c r="B40" s="273"/>
      <c r="C40" s="402"/>
      <c r="D40" s="267"/>
      <c r="E40" s="264"/>
      <c r="F40" s="138"/>
      <c r="G40" s="354"/>
      <c r="H40" s="228">
        <f t="shared" si="6"/>
        <v>0</v>
      </c>
      <c r="I40" s="154"/>
      <c r="J40" s="230">
        <f t="shared" si="7"/>
        <v>0</v>
      </c>
      <c r="K40" s="231">
        <f t="shared" si="8"/>
        <v>0</v>
      </c>
    </row>
    <row r="41" spans="1:11" ht="15.75">
      <c r="A41" s="225"/>
      <c r="B41" s="273"/>
      <c r="C41" s="402"/>
      <c r="D41" s="267"/>
      <c r="E41" s="264"/>
      <c r="F41" s="138"/>
      <c r="G41" s="354"/>
      <c r="H41" s="228">
        <f t="shared" si="6"/>
        <v>0</v>
      </c>
      <c r="I41" s="154"/>
      <c r="J41" s="230">
        <f t="shared" si="7"/>
        <v>0</v>
      </c>
      <c r="K41" s="231">
        <f t="shared" si="8"/>
        <v>0</v>
      </c>
    </row>
    <row r="42" spans="1:11" ht="15.75">
      <c r="A42" s="225"/>
      <c r="B42" s="425"/>
      <c r="C42" s="357"/>
      <c r="D42" s="358"/>
      <c r="E42" s="355"/>
      <c r="F42" s="356"/>
      <c r="G42" s="359"/>
      <c r="H42" s="228">
        <f t="shared" si="6"/>
        <v>0</v>
      </c>
      <c r="I42" s="39"/>
      <c r="J42" s="230">
        <f t="shared" si="7"/>
        <v>0</v>
      </c>
      <c r="K42" s="231">
        <f t="shared" si="8"/>
        <v>0</v>
      </c>
    </row>
    <row r="43" spans="1:11" ht="15.75">
      <c r="A43" s="225"/>
      <c r="B43" s="425"/>
      <c r="C43" s="302"/>
      <c r="D43" s="303"/>
      <c r="E43" s="37"/>
      <c r="F43" s="38"/>
      <c r="G43" s="40"/>
      <c r="H43" s="228">
        <f t="shared" si="6"/>
        <v>0</v>
      </c>
      <c r="I43" s="39"/>
      <c r="J43" s="230">
        <f t="shared" si="7"/>
        <v>0</v>
      </c>
      <c r="K43" s="231">
        <f t="shared" si="8"/>
        <v>0</v>
      </c>
    </row>
    <row r="44" spans="1:11" ht="15.75">
      <c r="A44" s="225"/>
      <c r="B44" s="425"/>
      <c r="C44" s="110"/>
      <c r="D44" s="111"/>
      <c r="E44" s="302"/>
      <c r="F44" s="303"/>
      <c r="G44" s="40"/>
      <c r="H44" s="228">
        <f t="shared" si="6"/>
        <v>0</v>
      </c>
      <c r="I44" s="39"/>
      <c r="J44" s="230">
        <f t="shared" si="7"/>
        <v>0</v>
      </c>
      <c r="K44" s="231">
        <f t="shared" si="8"/>
        <v>0</v>
      </c>
    </row>
    <row r="45" spans="1:11" ht="15.75">
      <c r="A45" s="225"/>
      <c r="B45" s="425"/>
      <c r="C45" s="110"/>
      <c r="D45" s="111"/>
      <c r="E45" s="302"/>
      <c r="F45" s="303"/>
      <c r="G45" s="40"/>
      <c r="H45" s="228">
        <f t="shared" si="6"/>
        <v>0</v>
      </c>
      <c r="I45" s="39"/>
      <c r="J45" s="230">
        <f t="shared" si="7"/>
        <v>0</v>
      </c>
      <c r="K45" s="231">
        <f t="shared" si="8"/>
        <v>0</v>
      </c>
    </row>
    <row r="46" spans="1:11" ht="15.75">
      <c r="A46" s="225"/>
      <c r="B46" s="425"/>
      <c r="C46" s="110"/>
      <c r="D46" s="111"/>
      <c r="E46" s="302"/>
      <c r="F46" s="303"/>
      <c r="G46" s="40"/>
      <c r="H46" s="228">
        <f t="shared" si="6"/>
        <v>0</v>
      </c>
      <c r="I46" s="39"/>
      <c r="J46" s="230">
        <f t="shared" si="7"/>
        <v>0</v>
      </c>
      <c r="K46" s="231">
        <f t="shared" si="8"/>
        <v>0</v>
      </c>
    </row>
    <row r="47" spans="1:11" ht="16.5" thickBot="1">
      <c r="A47" s="677" t="s">
        <v>113</v>
      </c>
      <c r="B47" s="678"/>
      <c r="C47" s="678"/>
      <c r="D47" s="678"/>
      <c r="E47" s="678"/>
      <c r="F47" s="678"/>
      <c r="G47" s="678"/>
      <c r="H47" s="679"/>
      <c r="I47" s="678"/>
      <c r="J47" s="680"/>
      <c r="K47" s="232">
        <f>SUM(K35:K46)</f>
        <v>0</v>
      </c>
    </row>
    <row r="48" spans="1:11" ht="16.5" thickBot="1">
      <c r="A48" s="675" t="s">
        <v>112</v>
      </c>
      <c r="B48" s="676"/>
      <c r="C48" s="676"/>
      <c r="D48" s="676"/>
      <c r="E48" s="676"/>
      <c r="F48" s="676"/>
      <c r="G48" s="676"/>
      <c r="H48" s="378">
        <v>0.03</v>
      </c>
      <c r="I48" s="367"/>
      <c r="J48" s="378">
        <v>0.15</v>
      </c>
      <c r="K48" s="368"/>
    </row>
    <row r="49" spans="1:11" ht="15.75">
      <c r="A49" s="225"/>
      <c r="B49" s="425"/>
      <c r="C49" s="110"/>
      <c r="D49" s="111"/>
      <c r="E49" s="302"/>
      <c r="F49" s="303"/>
      <c r="G49" s="40"/>
      <c r="H49" s="228">
        <f t="shared" ref="H49:H59" si="9">G49*($H$48+1)</f>
        <v>0</v>
      </c>
      <c r="I49" s="39"/>
      <c r="J49" s="228">
        <f t="shared" ref="J49:J59" si="10">I49*($J$48+1)</f>
        <v>0</v>
      </c>
      <c r="K49" s="231">
        <f t="shared" ref="K49:K59" si="11">H49*J49</f>
        <v>0</v>
      </c>
    </row>
    <row r="50" spans="1:11" ht="15.75">
      <c r="A50" s="225"/>
      <c r="B50" s="425"/>
      <c r="C50" s="110"/>
      <c r="D50" s="111"/>
      <c r="E50" s="302"/>
      <c r="F50" s="303"/>
      <c r="G50" s="40"/>
      <c r="H50" s="140">
        <f t="shared" si="9"/>
        <v>0</v>
      </c>
      <c r="I50" s="39"/>
      <c r="J50" s="140">
        <f t="shared" si="10"/>
        <v>0</v>
      </c>
      <c r="K50" s="231">
        <f t="shared" si="11"/>
        <v>0</v>
      </c>
    </row>
    <row r="51" spans="1:11" ht="15.75">
      <c r="A51" s="225"/>
      <c r="B51" s="425"/>
      <c r="C51" s="110"/>
      <c r="D51" s="111"/>
      <c r="E51" s="302"/>
      <c r="F51" s="303"/>
      <c r="G51" s="40"/>
      <c r="H51" s="140">
        <f t="shared" si="9"/>
        <v>0</v>
      </c>
      <c r="I51" s="39"/>
      <c r="J51" s="140">
        <f t="shared" si="10"/>
        <v>0</v>
      </c>
      <c r="K51" s="231">
        <f t="shared" si="11"/>
        <v>0</v>
      </c>
    </row>
    <row r="52" spans="1:11" ht="15.75">
      <c r="A52" s="225"/>
      <c r="B52" s="425"/>
      <c r="C52" s="110"/>
      <c r="D52" s="111"/>
      <c r="E52" s="302"/>
      <c r="F52" s="303"/>
      <c r="G52" s="40"/>
      <c r="H52" s="140">
        <f t="shared" si="9"/>
        <v>0</v>
      </c>
      <c r="I52" s="39"/>
      <c r="J52" s="140">
        <f t="shared" si="10"/>
        <v>0</v>
      </c>
      <c r="K52" s="231">
        <f t="shared" si="11"/>
        <v>0</v>
      </c>
    </row>
    <row r="53" spans="1:11" ht="15.75">
      <c r="A53" s="225"/>
      <c r="B53" s="425"/>
      <c r="C53" s="110"/>
      <c r="D53" s="111"/>
      <c r="E53" s="302"/>
      <c r="F53" s="303"/>
      <c r="G53" s="40"/>
      <c r="H53" s="140">
        <f t="shared" si="9"/>
        <v>0</v>
      </c>
      <c r="I53" s="39"/>
      <c r="J53" s="140">
        <f t="shared" si="10"/>
        <v>0</v>
      </c>
      <c r="K53" s="231">
        <f t="shared" si="11"/>
        <v>0</v>
      </c>
    </row>
    <row r="54" spans="1:11" ht="15.75">
      <c r="A54" s="225"/>
      <c r="B54" s="425"/>
      <c r="C54" s="110"/>
      <c r="D54" s="111"/>
      <c r="E54" s="302"/>
      <c r="F54" s="303"/>
      <c r="G54" s="40"/>
      <c r="H54" s="140">
        <f t="shared" si="9"/>
        <v>0</v>
      </c>
      <c r="I54" s="39"/>
      <c r="J54" s="140">
        <f t="shared" si="10"/>
        <v>0</v>
      </c>
      <c r="K54" s="231">
        <f t="shared" si="11"/>
        <v>0</v>
      </c>
    </row>
    <row r="55" spans="1:11" ht="15.75">
      <c r="A55" s="225"/>
      <c r="B55" s="425"/>
      <c r="C55" s="110"/>
      <c r="D55" s="111"/>
      <c r="E55" s="302"/>
      <c r="F55" s="303"/>
      <c r="G55" s="40"/>
      <c r="H55" s="140">
        <f t="shared" si="9"/>
        <v>0</v>
      </c>
      <c r="I55" s="39"/>
      <c r="J55" s="140">
        <f t="shared" si="10"/>
        <v>0</v>
      </c>
      <c r="K55" s="231">
        <f t="shared" si="11"/>
        <v>0</v>
      </c>
    </row>
    <row r="56" spans="1:11" ht="15.75">
      <c r="A56" s="225"/>
      <c r="B56" s="425"/>
      <c r="C56" s="110"/>
      <c r="D56" s="111"/>
      <c r="E56" s="302"/>
      <c r="F56" s="303"/>
      <c r="G56" s="40"/>
      <c r="H56" s="140">
        <f t="shared" si="9"/>
        <v>0</v>
      </c>
      <c r="I56" s="39"/>
      <c r="J56" s="140">
        <f t="shared" si="10"/>
        <v>0</v>
      </c>
      <c r="K56" s="231">
        <f t="shared" si="11"/>
        <v>0</v>
      </c>
    </row>
    <row r="57" spans="1:11" ht="15.75">
      <c r="A57" s="225"/>
      <c r="B57" s="425"/>
      <c r="C57" s="110"/>
      <c r="D57" s="111"/>
      <c r="E57" s="302"/>
      <c r="F57" s="303"/>
      <c r="G57" s="40"/>
      <c r="H57" s="140">
        <f t="shared" si="9"/>
        <v>0</v>
      </c>
      <c r="I57" s="39"/>
      <c r="J57" s="140">
        <f t="shared" si="10"/>
        <v>0</v>
      </c>
      <c r="K57" s="231">
        <f t="shared" si="11"/>
        <v>0</v>
      </c>
    </row>
    <row r="58" spans="1:11" ht="15.75">
      <c r="A58" s="225"/>
      <c r="B58" s="425"/>
      <c r="C58" s="110"/>
      <c r="D58" s="111"/>
      <c r="E58" s="302"/>
      <c r="F58" s="303"/>
      <c r="G58" s="40"/>
      <c r="H58" s="140">
        <f t="shared" si="9"/>
        <v>0</v>
      </c>
      <c r="I58" s="39"/>
      <c r="J58" s="140">
        <f t="shared" si="10"/>
        <v>0</v>
      </c>
      <c r="K58" s="231">
        <f t="shared" si="11"/>
        <v>0</v>
      </c>
    </row>
    <row r="59" spans="1:11" ht="15.75">
      <c r="A59" s="225"/>
      <c r="B59" s="425"/>
      <c r="C59" s="110"/>
      <c r="D59" s="111"/>
      <c r="E59" s="302"/>
      <c r="F59" s="303"/>
      <c r="G59" s="40"/>
      <c r="H59" s="140">
        <f t="shared" si="9"/>
        <v>0</v>
      </c>
      <c r="I59" s="39"/>
      <c r="J59" s="140">
        <f t="shared" si="10"/>
        <v>0</v>
      </c>
      <c r="K59" s="231">
        <f t="shared" si="11"/>
        <v>0</v>
      </c>
    </row>
    <row r="60" spans="1:11" ht="16.5" thickBot="1">
      <c r="A60" s="677" t="s">
        <v>114</v>
      </c>
      <c r="B60" s="678"/>
      <c r="C60" s="678"/>
      <c r="D60" s="678"/>
      <c r="E60" s="678"/>
      <c r="F60" s="678"/>
      <c r="G60" s="678"/>
      <c r="H60" s="678"/>
      <c r="I60" s="678"/>
      <c r="J60" s="681"/>
      <c r="K60" s="232">
        <f>SUM(K49:K59)</f>
        <v>0</v>
      </c>
    </row>
    <row r="61" spans="1:11" ht="16.5" thickBot="1">
      <c r="A61" s="421"/>
      <c r="B61" s="422"/>
      <c r="C61" s="321"/>
      <c r="D61" s="27"/>
      <c r="E61" s="27"/>
      <c r="F61" s="28"/>
      <c r="G61" s="29" t="s">
        <v>21</v>
      </c>
      <c r="H61" s="30"/>
      <c r="I61" s="29"/>
      <c r="J61" s="31"/>
      <c r="K61" s="43">
        <f>K47+K60</f>
        <v>0</v>
      </c>
    </row>
    <row r="62" spans="1:11" ht="15.75" thickBot="1">
      <c r="A62" s="278" t="s">
        <v>22</v>
      </c>
      <c r="B62" s="426"/>
      <c r="C62" s="323"/>
      <c r="D62" s="279"/>
      <c r="E62" s="279"/>
      <c r="F62" s="280"/>
      <c r="G62" s="281"/>
      <c r="H62" s="282"/>
      <c r="I62" s="248"/>
      <c r="J62" s="282"/>
      <c r="K62" s="283"/>
    </row>
    <row r="63" spans="1:11" ht="15.75" thickBot="1">
      <c r="A63" s="427" t="s">
        <v>10</v>
      </c>
      <c r="B63" s="301" t="s">
        <v>23</v>
      </c>
      <c r="C63" s="236" t="s">
        <v>82</v>
      </c>
      <c r="D63" s="277"/>
      <c r="E63" s="682" t="s">
        <v>13</v>
      </c>
      <c r="F63" s="682"/>
      <c r="G63" s="233" t="s">
        <v>83</v>
      </c>
      <c r="H63" s="373" t="s">
        <v>15</v>
      </c>
      <c r="I63" s="234" t="s">
        <v>20</v>
      </c>
      <c r="J63" s="374" t="s">
        <v>16</v>
      </c>
      <c r="K63" s="242" t="s">
        <v>17</v>
      </c>
    </row>
    <row r="64" spans="1:11" ht="16.5" thickBot="1">
      <c r="A64" s="675" t="s">
        <v>111</v>
      </c>
      <c r="B64" s="676"/>
      <c r="C64" s="676"/>
      <c r="D64" s="676"/>
      <c r="E64" s="676"/>
      <c r="F64" s="676"/>
      <c r="G64" s="683"/>
      <c r="H64" s="378">
        <v>0.03</v>
      </c>
      <c r="I64" s="367"/>
      <c r="J64" s="378">
        <v>0.15</v>
      </c>
      <c r="K64" s="368"/>
    </row>
    <row r="65" spans="1:11">
      <c r="A65" s="386"/>
      <c r="B65" s="428"/>
      <c r="C65" s="226"/>
      <c r="D65" s="351"/>
      <c r="E65" s="381"/>
      <c r="F65" s="382"/>
      <c r="G65" s="353"/>
      <c r="H65" s="228">
        <f t="shared" ref="H65:H86" si="12">G65*($H$64+1)</f>
        <v>0</v>
      </c>
      <c r="I65" s="145"/>
      <c r="J65" s="230">
        <f t="shared" ref="J65:J86" si="13">I65*($J$64+1)</f>
        <v>0</v>
      </c>
      <c r="K65" s="142">
        <f t="shared" ref="K65:K86" si="14">H65*J65</f>
        <v>0</v>
      </c>
    </row>
    <row r="66" spans="1:11">
      <c r="A66" s="387"/>
      <c r="B66" s="166"/>
      <c r="C66" s="266"/>
      <c r="D66" s="268"/>
      <c r="E66" s="264"/>
      <c r="F66" s="265"/>
      <c r="G66" s="272"/>
      <c r="H66" s="140">
        <f t="shared" si="12"/>
        <v>0</v>
      </c>
      <c r="I66" s="150"/>
      <c r="J66" s="141">
        <f t="shared" si="13"/>
        <v>0</v>
      </c>
      <c r="K66" s="142">
        <f t="shared" si="14"/>
        <v>0</v>
      </c>
    </row>
    <row r="67" spans="1:11">
      <c r="A67" s="387"/>
      <c r="B67" s="273"/>
      <c r="C67" s="324"/>
      <c r="D67" s="269"/>
      <c r="E67" s="264"/>
      <c r="F67" s="265"/>
      <c r="G67" s="272"/>
      <c r="H67" s="140">
        <f t="shared" si="12"/>
        <v>0</v>
      </c>
      <c r="I67" s="150"/>
      <c r="J67" s="141">
        <f t="shared" si="13"/>
        <v>0</v>
      </c>
      <c r="K67" s="142">
        <f t="shared" si="14"/>
        <v>0</v>
      </c>
    </row>
    <row r="68" spans="1:11">
      <c r="A68" s="387"/>
      <c r="B68" s="419"/>
      <c r="C68" s="226"/>
      <c r="D68" s="270"/>
      <c r="E68" s="274"/>
      <c r="F68" s="250"/>
      <c r="G68" s="272"/>
      <c r="H68" s="140">
        <f t="shared" si="12"/>
        <v>0</v>
      </c>
      <c r="I68" s="153"/>
      <c r="J68" s="141">
        <f t="shared" si="13"/>
        <v>0</v>
      </c>
      <c r="K68" s="142">
        <f t="shared" si="14"/>
        <v>0</v>
      </c>
    </row>
    <row r="69" spans="1:11">
      <c r="A69" s="387"/>
      <c r="B69" s="419"/>
      <c r="C69" s="148"/>
      <c r="D69" s="271"/>
      <c r="E69" s="274"/>
      <c r="F69" s="250"/>
      <c r="G69" s="272"/>
      <c r="H69" s="140">
        <f t="shared" si="12"/>
        <v>0</v>
      </c>
      <c r="I69" s="153"/>
      <c r="J69" s="141">
        <f t="shared" si="13"/>
        <v>0</v>
      </c>
      <c r="K69" s="142">
        <f t="shared" si="14"/>
        <v>0</v>
      </c>
    </row>
    <row r="70" spans="1:11">
      <c r="A70" s="387"/>
      <c r="B70" s="429"/>
      <c r="C70" s="325"/>
      <c r="D70" s="163"/>
      <c r="E70" s="275"/>
      <c r="F70" s="276"/>
      <c r="G70" s="162"/>
      <c r="H70" s="140">
        <f t="shared" si="12"/>
        <v>0</v>
      </c>
      <c r="I70" s="154"/>
      <c r="J70" s="141">
        <f t="shared" si="13"/>
        <v>0</v>
      </c>
      <c r="K70" s="142">
        <f t="shared" si="14"/>
        <v>0</v>
      </c>
    </row>
    <row r="71" spans="1:11" ht="15.75">
      <c r="A71" s="387"/>
      <c r="B71" s="430"/>
      <c r="C71" s="110"/>
      <c r="D71" s="48"/>
      <c r="E71" s="110"/>
      <c r="F71" s="111"/>
      <c r="G71" s="49"/>
      <c r="H71" s="140">
        <f t="shared" si="12"/>
        <v>0</v>
      </c>
      <c r="I71" s="39"/>
      <c r="J71" s="141">
        <f t="shared" si="13"/>
        <v>0</v>
      </c>
      <c r="K71" s="142">
        <f t="shared" si="14"/>
        <v>0</v>
      </c>
    </row>
    <row r="72" spans="1:11" ht="15.75">
      <c r="A72" s="387"/>
      <c r="B72" s="430"/>
      <c r="C72" s="110"/>
      <c r="D72" s="48"/>
      <c r="E72" s="110"/>
      <c r="F72" s="111"/>
      <c r="G72" s="49"/>
      <c r="H72" s="140">
        <f t="shared" si="12"/>
        <v>0</v>
      </c>
      <c r="I72" s="39"/>
      <c r="J72" s="141">
        <f t="shared" si="13"/>
        <v>0</v>
      </c>
      <c r="K72" s="142">
        <f t="shared" si="14"/>
        <v>0</v>
      </c>
    </row>
    <row r="73" spans="1:11" ht="15.75">
      <c r="A73" s="387"/>
      <c r="B73" s="430"/>
      <c r="C73" s="110"/>
      <c r="D73" s="48"/>
      <c r="E73" s="110"/>
      <c r="F73" s="111"/>
      <c r="G73" s="49"/>
      <c r="H73" s="140">
        <f t="shared" si="12"/>
        <v>0</v>
      </c>
      <c r="I73" s="39"/>
      <c r="J73" s="141">
        <f t="shared" si="13"/>
        <v>0</v>
      </c>
      <c r="K73" s="142">
        <f t="shared" si="14"/>
        <v>0</v>
      </c>
    </row>
    <row r="74" spans="1:11" ht="15.75">
      <c r="A74" s="387"/>
      <c r="B74" s="430"/>
      <c r="C74" s="110"/>
      <c r="D74" s="48"/>
      <c r="E74" s="110"/>
      <c r="F74" s="111"/>
      <c r="G74" s="49"/>
      <c r="H74" s="140">
        <f t="shared" si="12"/>
        <v>0</v>
      </c>
      <c r="I74" s="39"/>
      <c r="J74" s="141">
        <f t="shared" si="13"/>
        <v>0</v>
      </c>
      <c r="K74" s="142">
        <f t="shared" si="14"/>
        <v>0</v>
      </c>
    </row>
    <row r="75" spans="1:11" ht="15.75">
      <c r="A75" s="387"/>
      <c r="B75" s="430"/>
      <c r="C75" s="110"/>
      <c r="D75" s="48"/>
      <c r="E75" s="110"/>
      <c r="F75" s="111"/>
      <c r="G75" s="49"/>
      <c r="H75" s="140">
        <f t="shared" si="12"/>
        <v>0</v>
      </c>
      <c r="I75" s="39"/>
      <c r="J75" s="141">
        <f t="shared" si="13"/>
        <v>0</v>
      </c>
      <c r="K75" s="142">
        <f t="shared" si="14"/>
        <v>0</v>
      </c>
    </row>
    <row r="76" spans="1:11" ht="15.75">
      <c r="A76" s="225"/>
      <c r="B76" s="425"/>
      <c r="C76" s="110"/>
      <c r="D76" s="111"/>
      <c r="E76" s="302"/>
      <c r="F76" s="303"/>
      <c r="G76" s="40"/>
      <c r="H76" s="140">
        <f t="shared" si="12"/>
        <v>0</v>
      </c>
      <c r="I76" s="39"/>
      <c r="J76" s="141">
        <f t="shared" si="13"/>
        <v>0</v>
      </c>
      <c r="K76" s="231">
        <f t="shared" si="14"/>
        <v>0</v>
      </c>
    </row>
    <row r="77" spans="1:11" ht="15.75">
      <c r="A77" s="225"/>
      <c r="B77" s="425"/>
      <c r="C77" s="110"/>
      <c r="D77" s="111"/>
      <c r="E77" s="302"/>
      <c r="F77" s="303"/>
      <c r="G77" s="40"/>
      <c r="H77" s="140">
        <f t="shared" si="12"/>
        <v>0</v>
      </c>
      <c r="I77" s="39"/>
      <c r="J77" s="141">
        <f t="shared" si="13"/>
        <v>0</v>
      </c>
      <c r="K77" s="231">
        <f t="shared" si="14"/>
        <v>0</v>
      </c>
    </row>
    <row r="78" spans="1:11" ht="15.75">
      <c r="A78" s="225"/>
      <c r="B78" s="425"/>
      <c r="C78" s="110"/>
      <c r="D78" s="111"/>
      <c r="E78" s="302"/>
      <c r="F78" s="303"/>
      <c r="G78" s="40"/>
      <c r="H78" s="140">
        <f t="shared" si="12"/>
        <v>0</v>
      </c>
      <c r="I78" s="39"/>
      <c r="J78" s="141">
        <f t="shared" si="13"/>
        <v>0</v>
      </c>
      <c r="K78" s="231">
        <f t="shared" si="14"/>
        <v>0</v>
      </c>
    </row>
    <row r="79" spans="1:11" ht="15.75">
      <c r="A79" s="225"/>
      <c r="B79" s="425"/>
      <c r="C79" s="110"/>
      <c r="D79" s="111"/>
      <c r="E79" s="302"/>
      <c r="F79" s="303"/>
      <c r="G79" s="40"/>
      <c r="H79" s="140">
        <f t="shared" si="12"/>
        <v>0</v>
      </c>
      <c r="I79" s="39"/>
      <c r="J79" s="141">
        <f t="shared" si="13"/>
        <v>0</v>
      </c>
      <c r="K79" s="231">
        <f t="shared" si="14"/>
        <v>0</v>
      </c>
    </row>
    <row r="80" spans="1:11" ht="15.75">
      <c r="A80" s="225"/>
      <c r="B80" s="425"/>
      <c r="C80" s="110"/>
      <c r="D80" s="111"/>
      <c r="E80" s="302"/>
      <c r="F80" s="303"/>
      <c r="G80" s="40"/>
      <c r="H80" s="140">
        <f t="shared" si="12"/>
        <v>0</v>
      </c>
      <c r="I80" s="39"/>
      <c r="J80" s="141">
        <f t="shared" si="13"/>
        <v>0</v>
      </c>
      <c r="K80" s="231">
        <f t="shared" si="14"/>
        <v>0</v>
      </c>
    </row>
    <row r="81" spans="1:11" ht="15.75">
      <c r="A81" s="387"/>
      <c r="B81" s="430"/>
      <c r="C81" s="110"/>
      <c r="D81" s="48"/>
      <c r="E81" s="110"/>
      <c r="F81" s="111"/>
      <c r="G81" s="49"/>
      <c r="H81" s="140">
        <f t="shared" si="12"/>
        <v>0</v>
      </c>
      <c r="I81" s="39"/>
      <c r="J81" s="141">
        <f t="shared" si="13"/>
        <v>0</v>
      </c>
      <c r="K81" s="142">
        <f t="shared" si="14"/>
        <v>0</v>
      </c>
    </row>
    <row r="82" spans="1:11" ht="15.75">
      <c r="A82" s="387"/>
      <c r="B82" s="430"/>
      <c r="C82" s="110"/>
      <c r="D82" s="48"/>
      <c r="E82" s="110"/>
      <c r="F82" s="111"/>
      <c r="G82" s="49"/>
      <c r="H82" s="140">
        <f t="shared" si="12"/>
        <v>0</v>
      </c>
      <c r="I82" s="39"/>
      <c r="J82" s="141">
        <f t="shared" si="13"/>
        <v>0</v>
      </c>
      <c r="K82" s="142">
        <f t="shared" si="14"/>
        <v>0</v>
      </c>
    </row>
    <row r="83" spans="1:11" ht="15.75">
      <c r="A83" s="387"/>
      <c r="B83" s="430"/>
      <c r="C83" s="110"/>
      <c r="D83" s="48"/>
      <c r="E83" s="110"/>
      <c r="F83" s="111"/>
      <c r="G83" s="49"/>
      <c r="H83" s="140">
        <f t="shared" si="12"/>
        <v>0</v>
      </c>
      <c r="I83" s="39"/>
      <c r="J83" s="141">
        <f t="shared" si="13"/>
        <v>0</v>
      </c>
      <c r="K83" s="142">
        <f t="shared" si="14"/>
        <v>0</v>
      </c>
    </row>
    <row r="84" spans="1:11" ht="15.75">
      <c r="A84" s="387"/>
      <c r="B84" s="430"/>
      <c r="C84" s="110"/>
      <c r="D84" s="48"/>
      <c r="E84" s="110"/>
      <c r="F84" s="111"/>
      <c r="G84" s="49"/>
      <c r="H84" s="140">
        <f t="shared" si="12"/>
        <v>0</v>
      </c>
      <c r="I84" s="39"/>
      <c r="J84" s="141">
        <f t="shared" si="13"/>
        <v>0</v>
      </c>
      <c r="K84" s="142">
        <f t="shared" si="14"/>
        <v>0</v>
      </c>
    </row>
    <row r="85" spans="1:11" ht="15.75">
      <c r="A85" s="387"/>
      <c r="B85" s="430"/>
      <c r="C85" s="110"/>
      <c r="D85" s="48"/>
      <c r="E85" s="110"/>
      <c r="F85" s="111"/>
      <c r="G85" s="49"/>
      <c r="H85" s="140">
        <f t="shared" si="12"/>
        <v>0</v>
      </c>
      <c r="I85" s="39"/>
      <c r="J85" s="141">
        <f t="shared" si="13"/>
        <v>0</v>
      </c>
      <c r="K85" s="142">
        <f t="shared" si="14"/>
        <v>0</v>
      </c>
    </row>
    <row r="86" spans="1:11" ht="15.75">
      <c r="A86" s="387"/>
      <c r="B86" s="430"/>
      <c r="C86" s="110"/>
      <c r="D86" s="48"/>
      <c r="E86" s="110"/>
      <c r="F86" s="111"/>
      <c r="G86" s="49"/>
      <c r="H86" s="140">
        <f t="shared" si="12"/>
        <v>0</v>
      </c>
      <c r="I86" s="39"/>
      <c r="J86" s="141">
        <f t="shared" si="13"/>
        <v>0</v>
      </c>
      <c r="K86" s="142">
        <f t="shared" si="14"/>
        <v>0</v>
      </c>
    </row>
    <row r="87" spans="1:11" ht="16.5" thickBot="1">
      <c r="A87" s="677" t="s">
        <v>117</v>
      </c>
      <c r="B87" s="678"/>
      <c r="C87" s="678"/>
      <c r="D87" s="678"/>
      <c r="E87" s="678"/>
      <c r="F87" s="678"/>
      <c r="G87" s="678"/>
      <c r="H87" s="679"/>
      <c r="I87" s="678"/>
      <c r="J87" s="680"/>
      <c r="K87" s="232">
        <f>SUM(K64:K86)</f>
        <v>0</v>
      </c>
    </row>
    <row r="88" spans="1:11" ht="16.5" thickBot="1">
      <c r="A88" s="675" t="s">
        <v>112</v>
      </c>
      <c r="B88" s="676"/>
      <c r="C88" s="676"/>
      <c r="D88" s="676"/>
      <c r="E88" s="676"/>
      <c r="F88" s="676"/>
      <c r="G88" s="676"/>
      <c r="H88" s="378">
        <v>0.03</v>
      </c>
      <c r="I88" s="367"/>
      <c r="J88" s="378">
        <v>0.15</v>
      </c>
      <c r="K88" s="368"/>
    </row>
    <row r="89" spans="1:11" ht="15.75">
      <c r="A89" s="387"/>
      <c r="B89" s="430"/>
      <c r="C89" s="110"/>
      <c r="D89" s="48"/>
      <c r="E89" s="110"/>
      <c r="F89" s="111"/>
      <c r="G89" s="49"/>
      <c r="H89" s="228">
        <f t="shared" ref="H89:H110" si="15">G89*($H$88+1)</f>
        <v>0</v>
      </c>
      <c r="I89" s="39"/>
      <c r="J89" s="230">
        <f t="shared" ref="J89:J110" si="16">I89*($J$88+1)</f>
        <v>0</v>
      </c>
      <c r="K89" s="142">
        <f t="shared" ref="K89:K110" si="17">H89*J89</f>
        <v>0</v>
      </c>
    </row>
    <row r="90" spans="1:11" ht="15.75">
      <c r="A90" s="387"/>
      <c r="B90" s="430"/>
      <c r="C90" s="110"/>
      <c r="D90" s="48"/>
      <c r="E90" s="110"/>
      <c r="F90" s="111"/>
      <c r="G90" s="49"/>
      <c r="H90" s="140">
        <f t="shared" si="15"/>
        <v>0</v>
      </c>
      <c r="I90" s="39"/>
      <c r="J90" s="141">
        <f t="shared" si="16"/>
        <v>0</v>
      </c>
      <c r="K90" s="142">
        <f t="shared" si="17"/>
        <v>0</v>
      </c>
    </row>
    <row r="91" spans="1:11" ht="15.75">
      <c r="A91" s="387"/>
      <c r="B91" s="430"/>
      <c r="C91" s="110"/>
      <c r="D91" s="48"/>
      <c r="E91" s="110"/>
      <c r="F91" s="111"/>
      <c r="G91" s="49"/>
      <c r="H91" s="140">
        <f t="shared" si="15"/>
        <v>0</v>
      </c>
      <c r="I91" s="39"/>
      <c r="J91" s="141">
        <f t="shared" si="16"/>
        <v>0</v>
      </c>
      <c r="K91" s="142">
        <f t="shared" si="17"/>
        <v>0</v>
      </c>
    </row>
    <row r="92" spans="1:11" ht="15.75">
      <c r="A92" s="387"/>
      <c r="B92" s="430"/>
      <c r="C92" s="110"/>
      <c r="D92" s="48"/>
      <c r="E92" s="110"/>
      <c r="F92" s="111"/>
      <c r="G92" s="49"/>
      <c r="H92" s="140">
        <f t="shared" si="15"/>
        <v>0</v>
      </c>
      <c r="I92" s="39"/>
      <c r="J92" s="141">
        <f t="shared" si="16"/>
        <v>0</v>
      </c>
      <c r="K92" s="142">
        <f t="shared" si="17"/>
        <v>0</v>
      </c>
    </row>
    <row r="93" spans="1:11" ht="15.75">
      <c r="A93" s="387"/>
      <c r="B93" s="430"/>
      <c r="C93" s="110"/>
      <c r="D93" s="48"/>
      <c r="E93" s="110"/>
      <c r="F93" s="111"/>
      <c r="G93" s="49"/>
      <c r="H93" s="140">
        <f t="shared" si="15"/>
        <v>0</v>
      </c>
      <c r="I93" s="39"/>
      <c r="J93" s="141">
        <f t="shared" si="16"/>
        <v>0</v>
      </c>
      <c r="K93" s="142">
        <f t="shared" si="17"/>
        <v>0</v>
      </c>
    </row>
    <row r="94" spans="1:11" ht="15.75">
      <c r="A94" s="387"/>
      <c r="B94" s="430"/>
      <c r="C94" s="110"/>
      <c r="D94" s="48"/>
      <c r="E94" s="110"/>
      <c r="F94" s="111"/>
      <c r="G94" s="49"/>
      <c r="H94" s="140">
        <f t="shared" si="15"/>
        <v>0</v>
      </c>
      <c r="I94" s="39"/>
      <c r="J94" s="141">
        <f t="shared" si="16"/>
        <v>0</v>
      </c>
      <c r="K94" s="142">
        <f t="shared" si="17"/>
        <v>0</v>
      </c>
    </row>
    <row r="95" spans="1:11" ht="15.75">
      <c r="A95" s="387"/>
      <c r="B95" s="430"/>
      <c r="C95" s="110"/>
      <c r="D95" s="48"/>
      <c r="E95" s="110"/>
      <c r="F95" s="111"/>
      <c r="G95" s="49"/>
      <c r="H95" s="140">
        <f t="shared" si="15"/>
        <v>0</v>
      </c>
      <c r="I95" s="39"/>
      <c r="J95" s="141">
        <f t="shared" si="16"/>
        <v>0</v>
      </c>
      <c r="K95" s="142">
        <f t="shared" si="17"/>
        <v>0</v>
      </c>
    </row>
    <row r="96" spans="1:11" ht="15.75">
      <c r="A96" s="387"/>
      <c r="B96" s="430"/>
      <c r="C96" s="110"/>
      <c r="D96" s="48"/>
      <c r="E96" s="110"/>
      <c r="F96" s="111"/>
      <c r="G96" s="49"/>
      <c r="H96" s="140">
        <f t="shared" si="15"/>
        <v>0</v>
      </c>
      <c r="I96" s="39"/>
      <c r="J96" s="141">
        <f t="shared" si="16"/>
        <v>0</v>
      </c>
      <c r="K96" s="142">
        <f t="shared" si="17"/>
        <v>0</v>
      </c>
    </row>
    <row r="97" spans="1:11" ht="15.75">
      <c r="A97" s="387"/>
      <c r="B97" s="430"/>
      <c r="C97" s="110"/>
      <c r="D97" s="48"/>
      <c r="E97" s="110"/>
      <c r="F97" s="111"/>
      <c r="G97" s="49"/>
      <c r="H97" s="140">
        <f t="shared" si="15"/>
        <v>0</v>
      </c>
      <c r="I97" s="39"/>
      <c r="J97" s="141">
        <f t="shared" si="16"/>
        <v>0</v>
      </c>
      <c r="K97" s="142">
        <f t="shared" si="17"/>
        <v>0</v>
      </c>
    </row>
    <row r="98" spans="1:11" ht="15.75">
      <c r="A98" s="387"/>
      <c r="B98" s="430"/>
      <c r="C98" s="110"/>
      <c r="D98" s="48"/>
      <c r="E98" s="110"/>
      <c r="F98" s="111"/>
      <c r="G98" s="49"/>
      <c r="H98" s="140">
        <f t="shared" si="15"/>
        <v>0</v>
      </c>
      <c r="I98" s="39"/>
      <c r="J98" s="141">
        <f t="shared" si="16"/>
        <v>0</v>
      </c>
      <c r="K98" s="142">
        <f t="shared" si="17"/>
        <v>0</v>
      </c>
    </row>
    <row r="99" spans="1:11" ht="15.75">
      <c r="A99" s="387"/>
      <c r="B99" s="430"/>
      <c r="C99" s="110"/>
      <c r="D99" s="48"/>
      <c r="E99" s="110"/>
      <c r="F99" s="111"/>
      <c r="G99" s="49"/>
      <c r="H99" s="140">
        <f t="shared" si="15"/>
        <v>0</v>
      </c>
      <c r="I99" s="39"/>
      <c r="J99" s="141">
        <f t="shared" si="16"/>
        <v>0</v>
      </c>
      <c r="K99" s="142">
        <f t="shared" si="17"/>
        <v>0</v>
      </c>
    </row>
    <row r="100" spans="1:11" ht="15.75">
      <c r="A100" s="387"/>
      <c r="B100" s="430"/>
      <c r="C100" s="110"/>
      <c r="D100" s="48"/>
      <c r="E100" s="110"/>
      <c r="F100" s="111"/>
      <c r="G100" s="49"/>
      <c r="H100" s="140">
        <f t="shared" si="15"/>
        <v>0</v>
      </c>
      <c r="I100" s="39"/>
      <c r="J100" s="141">
        <f t="shared" si="16"/>
        <v>0</v>
      </c>
      <c r="K100" s="142">
        <f t="shared" si="17"/>
        <v>0</v>
      </c>
    </row>
    <row r="101" spans="1:11" ht="15.75">
      <c r="A101" s="225"/>
      <c r="B101" s="425"/>
      <c r="C101" s="110"/>
      <c r="D101" s="111"/>
      <c r="E101" s="302"/>
      <c r="F101" s="303"/>
      <c r="G101" s="40"/>
      <c r="H101" s="140">
        <f t="shared" si="15"/>
        <v>0</v>
      </c>
      <c r="I101" s="39"/>
      <c r="J101" s="141">
        <f t="shared" si="16"/>
        <v>0</v>
      </c>
      <c r="K101" s="231">
        <f t="shared" si="17"/>
        <v>0</v>
      </c>
    </row>
    <row r="102" spans="1:11" ht="15.75">
      <c r="A102" s="225"/>
      <c r="B102" s="425"/>
      <c r="C102" s="110"/>
      <c r="D102" s="111"/>
      <c r="E102" s="302"/>
      <c r="F102" s="303"/>
      <c r="G102" s="40"/>
      <c r="H102" s="140">
        <f t="shared" si="15"/>
        <v>0</v>
      </c>
      <c r="I102" s="39"/>
      <c r="J102" s="141">
        <f t="shared" si="16"/>
        <v>0</v>
      </c>
      <c r="K102" s="231">
        <f t="shared" si="17"/>
        <v>0</v>
      </c>
    </row>
    <row r="103" spans="1:11" ht="15.75">
      <c r="A103" s="225"/>
      <c r="B103" s="425"/>
      <c r="C103" s="110"/>
      <c r="D103" s="111"/>
      <c r="E103" s="302"/>
      <c r="F103" s="303"/>
      <c r="G103" s="40"/>
      <c r="H103" s="140">
        <f t="shared" si="15"/>
        <v>0</v>
      </c>
      <c r="I103" s="39"/>
      <c r="J103" s="141">
        <f t="shared" si="16"/>
        <v>0</v>
      </c>
      <c r="K103" s="231">
        <f t="shared" si="17"/>
        <v>0</v>
      </c>
    </row>
    <row r="104" spans="1:11" ht="15.75">
      <c r="A104" s="225"/>
      <c r="B104" s="425"/>
      <c r="C104" s="110"/>
      <c r="D104" s="111"/>
      <c r="E104" s="302"/>
      <c r="F104" s="303"/>
      <c r="G104" s="40"/>
      <c r="H104" s="140">
        <f t="shared" si="15"/>
        <v>0</v>
      </c>
      <c r="I104" s="39"/>
      <c r="J104" s="141">
        <f t="shared" si="16"/>
        <v>0</v>
      </c>
      <c r="K104" s="231">
        <f t="shared" si="17"/>
        <v>0</v>
      </c>
    </row>
    <row r="105" spans="1:11" ht="15.75">
      <c r="A105" s="225"/>
      <c r="B105" s="425"/>
      <c r="C105" s="110"/>
      <c r="D105" s="111"/>
      <c r="E105" s="302"/>
      <c r="F105" s="303"/>
      <c r="G105" s="40"/>
      <c r="H105" s="140">
        <f t="shared" si="15"/>
        <v>0</v>
      </c>
      <c r="I105" s="39"/>
      <c r="J105" s="141">
        <f t="shared" si="16"/>
        <v>0</v>
      </c>
      <c r="K105" s="231">
        <f t="shared" si="17"/>
        <v>0</v>
      </c>
    </row>
    <row r="106" spans="1:11" ht="15.75">
      <c r="A106" s="387"/>
      <c r="B106" s="430"/>
      <c r="C106" s="110"/>
      <c r="D106" s="48"/>
      <c r="E106" s="110"/>
      <c r="F106" s="111"/>
      <c r="G106" s="49"/>
      <c r="H106" s="140">
        <f t="shared" si="15"/>
        <v>0</v>
      </c>
      <c r="I106" s="39"/>
      <c r="J106" s="141">
        <f t="shared" si="16"/>
        <v>0</v>
      </c>
      <c r="K106" s="142">
        <f t="shared" si="17"/>
        <v>0</v>
      </c>
    </row>
    <row r="107" spans="1:11" ht="15.75">
      <c r="A107" s="387"/>
      <c r="B107" s="430"/>
      <c r="C107" s="110"/>
      <c r="D107" s="48"/>
      <c r="E107" s="110"/>
      <c r="F107" s="111"/>
      <c r="G107" s="49"/>
      <c r="H107" s="140">
        <f t="shared" si="15"/>
        <v>0</v>
      </c>
      <c r="I107" s="39"/>
      <c r="J107" s="141">
        <f t="shared" si="16"/>
        <v>0</v>
      </c>
      <c r="K107" s="142">
        <f t="shared" si="17"/>
        <v>0</v>
      </c>
    </row>
    <row r="108" spans="1:11" ht="15.75">
      <c r="A108" s="387"/>
      <c r="B108" s="430"/>
      <c r="C108" s="110"/>
      <c r="D108" s="48"/>
      <c r="E108" s="110"/>
      <c r="F108" s="111"/>
      <c r="G108" s="49"/>
      <c r="H108" s="140">
        <f t="shared" si="15"/>
        <v>0</v>
      </c>
      <c r="I108" s="39"/>
      <c r="J108" s="141">
        <f t="shared" si="16"/>
        <v>0</v>
      </c>
      <c r="K108" s="142">
        <f t="shared" si="17"/>
        <v>0</v>
      </c>
    </row>
    <row r="109" spans="1:11" ht="15.75">
      <c r="A109" s="387"/>
      <c r="B109" s="430"/>
      <c r="C109" s="110"/>
      <c r="D109" s="48"/>
      <c r="E109" s="110"/>
      <c r="F109" s="111"/>
      <c r="G109" s="49"/>
      <c r="H109" s="140">
        <f t="shared" si="15"/>
        <v>0</v>
      </c>
      <c r="I109" s="39"/>
      <c r="J109" s="141">
        <f t="shared" si="16"/>
        <v>0</v>
      </c>
      <c r="K109" s="142">
        <f t="shared" si="17"/>
        <v>0</v>
      </c>
    </row>
    <row r="110" spans="1:11" ht="15.75">
      <c r="A110" s="387"/>
      <c r="B110" s="430"/>
      <c r="C110" s="110"/>
      <c r="D110" s="48"/>
      <c r="E110" s="110"/>
      <c r="F110" s="111"/>
      <c r="G110" s="49"/>
      <c r="H110" s="140">
        <f t="shared" si="15"/>
        <v>0</v>
      </c>
      <c r="I110" s="39"/>
      <c r="J110" s="141">
        <f t="shared" si="16"/>
        <v>0</v>
      </c>
      <c r="K110" s="142">
        <f t="shared" si="17"/>
        <v>0</v>
      </c>
    </row>
    <row r="111" spans="1:11" ht="16.5" thickBot="1">
      <c r="A111" s="677" t="s">
        <v>118</v>
      </c>
      <c r="B111" s="678"/>
      <c r="C111" s="678"/>
      <c r="D111" s="678"/>
      <c r="E111" s="678"/>
      <c r="F111" s="678"/>
      <c r="G111" s="678"/>
      <c r="H111" s="678"/>
      <c r="I111" s="678"/>
      <c r="J111" s="681"/>
      <c r="K111" s="232">
        <f>SUM(K89:K110)</f>
        <v>0</v>
      </c>
    </row>
    <row r="112" spans="1:11" ht="16.5" thickBot="1">
      <c r="A112" s="421"/>
      <c r="B112" s="422"/>
      <c r="C112" s="321"/>
      <c r="D112" s="27"/>
      <c r="E112" s="27"/>
      <c r="F112" s="28"/>
      <c r="G112" s="50" t="s">
        <v>24</v>
      </c>
      <c r="H112" s="371"/>
      <c r="I112" s="51"/>
      <c r="J112" s="372"/>
      <c r="K112" s="53">
        <f>K111+K87</f>
        <v>0</v>
      </c>
    </row>
    <row r="113" spans="1:11" s="289" customFormat="1" ht="16.5" thickBot="1">
      <c r="A113" s="239" t="s">
        <v>25</v>
      </c>
      <c r="B113" s="431"/>
      <c r="C113" s="284"/>
      <c r="D113" s="286"/>
      <c r="E113" s="286"/>
      <c r="F113" s="287"/>
      <c r="G113" s="288"/>
      <c r="H113" s="377">
        <v>0.05</v>
      </c>
      <c r="I113" s="284"/>
      <c r="J113" s="377">
        <v>0.02</v>
      </c>
      <c r="K113" s="285"/>
    </row>
    <row r="114" spans="1:11">
      <c r="A114" s="432" t="s">
        <v>10</v>
      </c>
      <c r="B114" s="300" t="s">
        <v>25</v>
      </c>
      <c r="C114" s="157" t="s">
        <v>82</v>
      </c>
      <c r="D114" s="158"/>
      <c r="E114" s="668" t="s">
        <v>13</v>
      </c>
      <c r="F114" s="668"/>
      <c r="G114" s="159" t="s">
        <v>83</v>
      </c>
      <c r="H114" s="233" t="s">
        <v>15</v>
      </c>
      <c r="I114" s="160" t="s">
        <v>20</v>
      </c>
      <c r="J114" s="234" t="s">
        <v>16</v>
      </c>
      <c r="K114" s="164" t="s">
        <v>17</v>
      </c>
    </row>
    <row r="115" spans="1:11">
      <c r="A115" s="165"/>
      <c r="B115" s="166"/>
      <c r="C115" s="166"/>
      <c r="D115" s="167"/>
      <c r="E115" s="349"/>
      <c r="F115" s="350"/>
      <c r="G115" s="168"/>
      <c r="H115" s="140">
        <f t="shared" ref="H115:H145" si="18">G115*($H$113+1)</f>
        <v>0</v>
      </c>
      <c r="I115" s="150"/>
      <c r="J115" s="141">
        <f t="shared" ref="J115:J145" si="19">I115*($J$113+1)</f>
        <v>0</v>
      </c>
      <c r="K115" s="142">
        <f t="shared" ref="K115:K145" si="20">H115*J115</f>
        <v>0</v>
      </c>
    </row>
    <row r="116" spans="1:11">
      <c r="A116" s="165"/>
      <c r="B116" s="166"/>
      <c r="C116" s="166"/>
      <c r="D116" s="169"/>
      <c r="E116" s="170"/>
      <c r="F116" s="338"/>
      <c r="G116" s="168"/>
      <c r="H116" s="140">
        <f t="shared" si="18"/>
        <v>0</v>
      </c>
      <c r="I116" s="150"/>
      <c r="J116" s="141">
        <f t="shared" si="19"/>
        <v>0</v>
      </c>
      <c r="K116" s="142">
        <f t="shared" si="20"/>
        <v>0</v>
      </c>
    </row>
    <row r="117" spans="1:11">
      <c r="A117" s="165"/>
      <c r="B117" s="312"/>
      <c r="C117" s="148"/>
      <c r="D117" s="169"/>
      <c r="E117" s="170"/>
      <c r="F117" s="338"/>
      <c r="G117" s="168"/>
      <c r="H117" s="140">
        <f t="shared" si="18"/>
        <v>0</v>
      </c>
      <c r="I117" s="154"/>
      <c r="J117" s="141">
        <f t="shared" si="19"/>
        <v>0</v>
      </c>
      <c r="K117" s="142">
        <f t="shared" si="20"/>
        <v>0</v>
      </c>
    </row>
    <row r="118" spans="1:11" ht="15.75">
      <c r="A118" s="55"/>
      <c r="B118" s="433"/>
      <c r="C118" s="326"/>
      <c r="D118" s="116"/>
      <c r="E118" s="306"/>
      <c r="F118" s="307"/>
      <c r="G118" s="56"/>
      <c r="H118" s="140">
        <f t="shared" si="18"/>
        <v>0</v>
      </c>
      <c r="I118" s="42"/>
      <c r="J118" s="141">
        <f t="shared" si="19"/>
        <v>0</v>
      </c>
      <c r="K118" s="142">
        <f t="shared" si="20"/>
        <v>0</v>
      </c>
    </row>
    <row r="119" spans="1:11" ht="16.5" thickBot="1">
      <c r="A119" s="55"/>
      <c r="B119" s="433"/>
      <c r="C119" s="326"/>
      <c r="D119" s="116"/>
      <c r="E119" s="306"/>
      <c r="F119" s="307"/>
      <c r="G119" s="56"/>
      <c r="H119" s="140">
        <f t="shared" si="18"/>
        <v>0</v>
      </c>
      <c r="I119" s="42"/>
      <c r="J119" s="141">
        <f t="shared" si="19"/>
        <v>0</v>
      </c>
      <c r="K119" s="142">
        <f t="shared" si="20"/>
        <v>0</v>
      </c>
    </row>
    <row r="120" spans="1:11" ht="16.5" hidden="1" thickBot="1">
      <c r="A120" s="55"/>
      <c r="B120" s="433"/>
      <c r="C120" s="326"/>
      <c r="D120" s="116"/>
      <c r="E120" s="306"/>
      <c r="F120" s="307"/>
      <c r="G120" s="56"/>
      <c r="H120" s="140">
        <f t="shared" si="18"/>
        <v>0</v>
      </c>
      <c r="I120" s="42"/>
      <c r="J120" s="141">
        <f t="shared" si="19"/>
        <v>0</v>
      </c>
      <c r="K120" s="142">
        <f t="shared" si="20"/>
        <v>0</v>
      </c>
    </row>
    <row r="121" spans="1:11" ht="16.5" hidden="1" thickBot="1">
      <c r="A121" s="55"/>
      <c r="B121" s="433"/>
      <c r="C121" s="326"/>
      <c r="D121" s="116"/>
      <c r="E121" s="306"/>
      <c r="F121" s="307"/>
      <c r="G121" s="56"/>
      <c r="H121" s="140">
        <f t="shared" si="18"/>
        <v>0</v>
      </c>
      <c r="I121" s="42"/>
      <c r="J121" s="141">
        <f t="shared" si="19"/>
        <v>0</v>
      </c>
      <c r="K121" s="142">
        <f t="shared" si="20"/>
        <v>0</v>
      </c>
    </row>
    <row r="122" spans="1:11" ht="16.5" hidden="1" thickBot="1">
      <c r="A122" s="55"/>
      <c r="B122" s="433"/>
      <c r="C122" s="326"/>
      <c r="D122" s="116"/>
      <c r="E122" s="306"/>
      <c r="F122" s="307"/>
      <c r="G122" s="56"/>
      <c r="H122" s="140">
        <f t="shared" si="18"/>
        <v>0</v>
      </c>
      <c r="I122" s="42"/>
      <c r="J122" s="141">
        <f t="shared" si="19"/>
        <v>0</v>
      </c>
      <c r="K122" s="142">
        <f t="shared" si="20"/>
        <v>0</v>
      </c>
    </row>
    <row r="123" spans="1:11" ht="16.5" hidden="1" thickBot="1">
      <c r="A123" s="55"/>
      <c r="B123" s="433"/>
      <c r="C123" s="326"/>
      <c r="D123" s="116"/>
      <c r="E123" s="306"/>
      <c r="F123" s="307"/>
      <c r="G123" s="56"/>
      <c r="H123" s="140">
        <f t="shared" si="18"/>
        <v>0</v>
      </c>
      <c r="I123" s="42"/>
      <c r="J123" s="141">
        <f t="shared" si="19"/>
        <v>0</v>
      </c>
      <c r="K123" s="142">
        <f t="shared" si="20"/>
        <v>0</v>
      </c>
    </row>
    <row r="124" spans="1:11" ht="16.5" hidden="1" thickBot="1">
      <c r="A124" s="55"/>
      <c r="B124" s="433"/>
      <c r="C124" s="326"/>
      <c r="D124" s="116"/>
      <c r="E124" s="306"/>
      <c r="F124" s="307"/>
      <c r="G124" s="56"/>
      <c r="H124" s="140">
        <f t="shared" si="18"/>
        <v>0</v>
      </c>
      <c r="I124" s="42"/>
      <c r="J124" s="141">
        <f t="shared" si="19"/>
        <v>0</v>
      </c>
      <c r="K124" s="142">
        <f t="shared" si="20"/>
        <v>0</v>
      </c>
    </row>
    <row r="125" spans="1:11" ht="16.5" hidden="1" thickBot="1">
      <c r="A125" s="55"/>
      <c r="B125" s="433"/>
      <c r="C125" s="326"/>
      <c r="D125" s="116"/>
      <c r="E125" s="306"/>
      <c r="F125" s="307"/>
      <c r="G125" s="56"/>
      <c r="H125" s="140">
        <f t="shared" si="18"/>
        <v>0</v>
      </c>
      <c r="I125" s="42"/>
      <c r="J125" s="141">
        <f t="shared" si="19"/>
        <v>0</v>
      </c>
      <c r="K125" s="142">
        <f t="shared" si="20"/>
        <v>0</v>
      </c>
    </row>
    <row r="126" spans="1:11" ht="16.5" hidden="1" thickBot="1">
      <c r="A126" s="55"/>
      <c r="B126" s="433"/>
      <c r="C126" s="326"/>
      <c r="D126" s="116"/>
      <c r="E126" s="306"/>
      <c r="F126" s="307"/>
      <c r="G126" s="56"/>
      <c r="H126" s="140">
        <f t="shared" si="18"/>
        <v>0</v>
      </c>
      <c r="I126" s="42"/>
      <c r="J126" s="141">
        <f t="shared" si="19"/>
        <v>0</v>
      </c>
      <c r="K126" s="142">
        <f t="shared" si="20"/>
        <v>0</v>
      </c>
    </row>
    <row r="127" spans="1:11" ht="16.5" hidden="1" thickBot="1">
      <c r="A127" s="55"/>
      <c r="B127" s="433"/>
      <c r="C127" s="326"/>
      <c r="D127" s="116"/>
      <c r="E127" s="306"/>
      <c r="F127" s="307"/>
      <c r="G127" s="56"/>
      <c r="H127" s="140">
        <f t="shared" si="18"/>
        <v>0</v>
      </c>
      <c r="I127" s="42"/>
      <c r="J127" s="141">
        <f t="shared" si="19"/>
        <v>0</v>
      </c>
      <c r="K127" s="142">
        <f t="shared" si="20"/>
        <v>0</v>
      </c>
    </row>
    <row r="128" spans="1:11" ht="16.5" hidden="1" thickBot="1">
      <c r="A128" s="55"/>
      <c r="B128" s="433"/>
      <c r="C128" s="326"/>
      <c r="D128" s="116"/>
      <c r="E128" s="306"/>
      <c r="F128" s="307"/>
      <c r="G128" s="56"/>
      <c r="H128" s="140">
        <f t="shared" si="18"/>
        <v>0</v>
      </c>
      <c r="I128" s="42"/>
      <c r="J128" s="141">
        <f t="shared" si="19"/>
        <v>0</v>
      </c>
      <c r="K128" s="142">
        <f t="shared" si="20"/>
        <v>0</v>
      </c>
    </row>
    <row r="129" spans="1:11" ht="16.5" hidden="1" thickBot="1">
      <c r="A129" s="55"/>
      <c r="B129" s="433"/>
      <c r="C129" s="326"/>
      <c r="D129" s="116"/>
      <c r="E129" s="306"/>
      <c r="F129" s="307"/>
      <c r="G129" s="56"/>
      <c r="H129" s="140">
        <f t="shared" si="18"/>
        <v>0</v>
      </c>
      <c r="I129" s="42"/>
      <c r="J129" s="141">
        <f t="shared" si="19"/>
        <v>0</v>
      </c>
      <c r="K129" s="142">
        <f t="shared" si="20"/>
        <v>0</v>
      </c>
    </row>
    <row r="130" spans="1:11" ht="16.5" hidden="1" thickBot="1">
      <c r="A130" s="55"/>
      <c r="B130" s="433"/>
      <c r="C130" s="326"/>
      <c r="D130" s="116"/>
      <c r="E130" s="306"/>
      <c r="F130" s="307"/>
      <c r="G130" s="56"/>
      <c r="H130" s="140">
        <f t="shared" si="18"/>
        <v>0</v>
      </c>
      <c r="I130" s="42"/>
      <c r="J130" s="141">
        <f t="shared" si="19"/>
        <v>0</v>
      </c>
      <c r="K130" s="142">
        <f t="shared" si="20"/>
        <v>0</v>
      </c>
    </row>
    <row r="131" spans="1:11" ht="16.5" hidden="1" thickBot="1">
      <c r="A131" s="55"/>
      <c r="B131" s="433"/>
      <c r="C131" s="326"/>
      <c r="D131" s="116"/>
      <c r="E131" s="306"/>
      <c r="F131" s="307"/>
      <c r="G131" s="56"/>
      <c r="H131" s="140">
        <f t="shared" si="18"/>
        <v>0</v>
      </c>
      <c r="I131" s="42"/>
      <c r="J131" s="141">
        <f t="shared" si="19"/>
        <v>0</v>
      </c>
      <c r="K131" s="142">
        <f t="shared" si="20"/>
        <v>0</v>
      </c>
    </row>
    <row r="132" spans="1:11" ht="16.5" hidden="1" thickBot="1">
      <c r="A132" s="55"/>
      <c r="B132" s="433"/>
      <c r="C132" s="326"/>
      <c r="D132" s="116"/>
      <c r="E132" s="306"/>
      <c r="F132" s="307"/>
      <c r="G132" s="56"/>
      <c r="H132" s="140">
        <f t="shared" si="18"/>
        <v>0</v>
      </c>
      <c r="I132" s="42"/>
      <c r="J132" s="141">
        <f t="shared" si="19"/>
        <v>0</v>
      </c>
      <c r="K132" s="142">
        <f t="shared" si="20"/>
        <v>0</v>
      </c>
    </row>
    <row r="133" spans="1:11" ht="16.5" hidden="1" thickBot="1">
      <c r="A133" s="55"/>
      <c r="B133" s="433"/>
      <c r="C133" s="326"/>
      <c r="D133" s="116"/>
      <c r="E133" s="306"/>
      <c r="F133" s="307"/>
      <c r="G133" s="56"/>
      <c r="H133" s="140">
        <f t="shared" si="18"/>
        <v>0</v>
      </c>
      <c r="I133" s="42"/>
      <c r="J133" s="141">
        <f t="shared" si="19"/>
        <v>0</v>
      </c>
      <c r="K133" s="142">
        <f t="shared" si="20"/>
        <v>0</v>
      </c>
    </row>
    <row r="134" spans="1:11" ht="16.5" hidden="1" thickBot="1">
      <c r="A134" s="55"/>
      <c r="B134" s="433"/>
      <c r="C134" s="326"/>
      <c r="D134" s="116"/>
      <c r="E134" s="306"/>
      <c r="F134" s="307"/>
      <c r="G134" s="56"/>
      <c r="H134" s="140">
        <f t="shared" si="18"/>
        <v>0</v>
      </c>
      <c r="I134" s="42"/>
      <c r="J134" s="141">
        <f t="shared" si="19"/>
        <v>0</v>
      </c>
      <c r="K134" s="142">
        <f t="shared" si="20"/>
        <v>0</v>
      </c>
    </row>
    <row r="135" spans="1:11" ht="16.5" hidden="1" thickBot="1">
      <c r="A135" s="55"/>
      <c r="B135" s="433"/>
      <c r="C135" s="326"/>
      <c r="D135" s="116"/>
      <c r="E135" s="306"/>
      <c r="F135" s="307"/>
      <c r="G135" s="56"/>
      <c r="H135" s="140">
        <f t="shared" si="18"/>
        <v>0</v>
      </c>
      <c r="I135" s="42"/>
      <c r="J135" s="141">
        <f t="shared" si="19"/>
        <v>0</v>
      </c>
      <c r="K135" s="142">
        <f t="shared" si="20"/>
        <v>0</v>
      </c>
    </row>
    <row r="136" spans="1:11" ht="16.5" hidden="1" thickBot="1">
      <c r="A136" s="55"/>
      <c r="B136" s="433"/>
      <c r="C136" s="326"/>
      <c r="D136" s="116"/>
      <c r="E136" s="306"/>
      <c r="F136" s="307"/>
      <c r="G136" s="56"/>
      <c r="H136" s="140">
        <f t="shared" si="18"/>
        <v>0</v>
      </c>
      <c r="I136" s="42"/>
      <c r="J136" s="141">
        <f t="shared" si="19"/>
        <v>0</v>
      </c>
      <c r="K136" s="142">
        <f t="shared" si="20"/>
        <v>0</v>
      </c>
    </row>
    <row r="137" spans="1:11" ht="16.5" hidden="1" thickBot="1">
      <c r="A137" s="55"/>
      <c r="B137" s="433"/>
      <c r="C137" s="326"/>
      <c r="D137" s="116"/>
      <c r="E137" s="306"/>
      <c r="F137" s="307"/>
      <c r="G137" s="56"/>
      <c r="H137" s="140">
        <f t="shared" si="18"/>
        <v>0</v>
      </c>
      <c r="I137" s="42"/>
      <c r="J137" s="141">
        <f t="shared" si="19"/>
        <v>0</v>
      </c>
      <c r="K137" s="142">
        <f t="shared" si="20"/>
        <v>0</v>
      </c>
    </row>
    <row r="138" spans="1:11" ht="16.5" hidden="1" thickBot="1">
      <c r="A138" s="55"/>
      <c r="B138" s="433"/>
      <c r="C138" s="326"/>
      <c r="D138" s="116"/>
      <c r="E138" s="306"/>
      <c r="F138" s="307"/>
      <c r="G138" s="56"/>
      <c r="H138" s="140">
        <f t="shared" si="18"/>
        <v>0</v>
      </c>
      <c r="I138" s="42"/>
      <c r="J138" s="141">
        <f t="shared" si="19"/>
        <v>0</v>
      </c>
      <c r="K138" s="142">
        <f t="shared" si="20"/>
        <v>0</v>
      </c>
    </row>
    <row r="139" spans="1:11" ht="16.5" hidden="1" thickBot="1">
      <c r="A139" s="55"/>
      <c r="B139" s="433"/>
      <c r="C139" s="326"/>
      <c r="D139" s="116"/>
      <c r="E139" s="306"/>
      <c r="F139" s="307"/>
      <c r="G139" s="56"/>
      <c r="H139" s="140">
        <f t="shared" si="18"/>
        <v>0</v>
      </c>
      <c r="I139" s="42"/>
      <c r="J139" s="141">
        <f t="shared" si="19"/>
        <v>0</v>
      </c>
      <c r="K139" s="142">
        <f t="shared" si="20"/>
        <v>0</v>
      </c>
    </row>
    <row r="140" spans="1:11" ht="16.5" hidden="1" thickBot="1">
      <c r="A140" s="55"/>
      <c r="B140" s="433"/>
      <c r="C140" s="326"/>
      <c r="D140" s="116"/>
      <c r="E140" s="306"/>
      <c r="F140" s="307"/>
      <c r="G140" s="56"/>
      <c r="H140" s="140">
        <f t="shared" si="18"/>
        <v>0</v>
      </c>
      <c r="I140" s="42"/>
      <c r="J140" s="141">
        <f t="shared" si="19"/>
        <v>0</v>
      </c>
      <c r="K140" s="142">
        <f t="shared" si="20"/>
        <v>0</v>
      </c>
    </row>
    <row r="141" spans="1:11" ht="16.5" hidden="1" thickBot="1">
      <c r="A141" s="55"/>
      <c r="B141" s="433"/>
      <c r="C141" s="326"/>
      <c r="D141" s="116"/>
      <c r="E141" s="306"/>
      <c r="F141" s="307"/>
      <c r="G141" s="56"/>
      <c r="H141" s="140">
        <f t="shared" si="18"/>
        <v>0</v>
      </c>
      <c r="I141" s="42"/>
      <c r="J141" s="141">
        <f t="shared" si="19"/>
        <v>0</v>
      </c>
      <c r="K141" s="142">
        <f t="shared" si="20"/>
        <v>0</v>
      </c>
    </row>
    <row r="142" spans="1:11" ht="16.5" hidden="1" thickBot="1">
      <c r="A142" s="55"/>
      <c r="B142" s="433"/>
      <c r="C142" s="326"/>
      <c r="D142" s="116"/>
      <c r="E142" s="306"/>
      <c r="F142" s="307"/>
      <c r="G142" s="56"/>
      <c r="H142" s="140">
        <f t="shared" si="18"/>
        <v>0</v>
      </c>
      <c r="I142" s="42"/>
      <c r="J142" s="141">
        <f t="shared" si="19"/>
        <v>0</v>
      </c>
      <c r="K142" s="142">
        <f t="shared" si="20"/>
        <v>0</v>
      </c>
    </row>
    <row r="143" spans="1:11" ht="16.5" hidden="1" thickBot="1">
      <c r="A143" s="55"/>
      <c r="B143" s="433"/>
      <c r="C143" s="326"/>
      <c r="D143" s="116"/>
      <c r="E143" s="306"/>
      <c r="F143" s="307"/>
      <c r="G143" s="56"/>
      <c r="H143" s="140">
        <f t="shared" si="18"/>
        <v>0</v>
      </c>
      <c r="I143" s="42"/>
      <c r="J143" s="141">
        <f t="shared" si="19"/>
        <v>0</v>
      </c>
      <c r="K143" s="142">
        <f t="shared" si="20"/>
        <v>0</v>
      </c>
    </row>
    <row r="144" spans="1:11" ht="16.5" hidden="1" thickBot="1">
      <c r="A144" s="55"/>
      <c r="B144" s="433"/>
      <c r="C144" s="326"/>
      <c r="D144" s="116"/>
      <c r="E144" s="306"/>
      <c r="F144" s="307"/>
      <c r="G144" s="56"/>
      <c r="H144" s="140">
        <f t="shared" si="18"/>
        <v>0</v>
      </c>
      <c r="I144" s="42"/>
      <c r="J144" s="141">
        <f t="shared" si="19"/>
        <v>0</v>
      </c>
      <c r="K144" s="142">
        <f t="shared" si="20"/>
        <v>0</v>
      </c>
    </row>
    <row r="145" spans="1:11" ht="16.5" hidden="1" thickBot="1">
      <c r="A145" s="55"/>
      <c r="B145" s="433"/>
      <c r="C145" s="306"/>
      <c r="D145" s="57"/>
      <c r="E145" s="672"/>
      <c r="F145" s="673"/>
      <c r="G145" s="56"/>
      <c r="H145" s="140">
        <f t="shared" si="18"/>
        <v>0</v>
      </c>
      <c r="I145" s="42"/>
      <c r="J145" s="141">
        <f t="shared" si="19"/>
        <v>0</v>
      </c>
      <c r="K145" s="142">
        <f t="shared" si="20"/>
        <v>0</v>
      </c>
    </row>
    <row r="146" spans="1:11" ht="16.5" thickBot="1">
      <c r="A146" s="421"/>
      <c r="B146" s="422"/>
      <c r="C146" s="321"/>
      <c r="D146" s="27"/>
      <c r="E146" s="27"/>
      <c r="F146" s="28"/>
      <c r="G146" s="50" t="s">
        <v>26</v>
      </c>
      <c r="H146" s="371"/>
      <c r="I146" s="31"/>
      <c r="J146" s="372"/>
      <c r="K146" s="43">
        <f>SUM(K115:K145)</f>
        <v>0</v>
      </c>
    </row>
    <row r="147" spans="1:11" s="289" customFormat="1" ht="16.5" thickBot="1">
      <c r="A147" s="239" t="s">
        <v>27</v>
      </c>
      <c r="B147" s="431"/>
      <c r="C147" s="284"/>
      <c r="D147" s="286"/>
      <c r="E147" s="286"/>
      <c r="F147" s="287"/>
      <c r="G147" s="288"/>
      <c r="H147" s="377">
        <v>0.05</v>
      </c>
      <c r="I147" s="284"/>
      <c r="J147" s="377">
        <v>0.02</v>
      </c>
      <c r="K147" s="285"/>
    </row>
    <row r="148" spans="1:11">
      <c r="A148" s="432" t="s">
        <v>10</v>
      </c>
      <c r="B148" s="300" t="s">
        <v>27</v>
      </c>
      <c r="C148" s="157" t="s">
        <v>82</v>
      </c>
      <c r="D148" s="158"/>
      <c r="E148" s="668" t="s">
        <v>13</v>
      </c>
      <c r="F148" s="668"/>
      <c r="G148" s="159" t="s">
        <v>83</v>
      </c>
      <c r="H148" s="233" t="s">
        <v>15</v>
      </c>
      <c r="I148" s="160" t="s">
        <v>20</v>
      </c>
      <c r="J148" s="234" t="s">
        <v>16</v>
      </c>
      <c r="K148" s="164" t="s">
        <v>17</v>
      </c>
    </row>
    <row r="149" spans="1:11">
      <c r="A149" s="165"/>
      <c r="B149" s="166"/>
      <c r="C149" s="148"/>
      <c r="D149" s="167"/>
      <c r="E149" s="347"/>
      <c r="F149" s="348"/>
      <c r="G149" s="168"/>
      <c r="H149" s="140">
        <f t="shared" ref="H149:H179" si="21">G149*($H$147+1)</f>
        <v>0</v>
      </c>
      <c r="I149" s="153"/>
      <c r="J149" s="141">
        <f t="shared" ref="J149:J179" si="22">I149*($J$147+1)</f>
        <v>0</v>
      </c>
      <c r="K149" s="142">
        <f t="shared" ref="K149:K179" si="23">H149*J149</f>
        <v>0</v>
      </c>
    </row>
    <row r="150" spans="1:11">
      <c r="A150" s="165"/>
      <c r="B150" s="166"/>
      <c r="C150" s="148"/>
      <c r="D150" s="169"/>
      <c r="E150" s="170"/>
      <c r="F150" s="338"/>
      <c r="G150" s="168"/>
      <c r="H150" s="140">
        <f t="shared" si="21"/>
        <v>0</v>
      </c>
      <c r="I150" s="161"/>
      <c r="J150" s="141">
        <f t="shared" si="22"/>
        <v>0</v>
      </c>
      <c r="K150" s="142">
        <f t="shared" si="23"/>
        <v>0</v>
      </c>
    </row>
    <row r="151" spans="1:11">
      <c r="A151" s="165"/>
      <c r="B151" s="312"/>
      <c r="C151" s="148"/>
      <c r="D151" s="169"/>
      <c r="E151" s="170"/>
      <c r="F151" s="338"/>
      <c r="G151" s="168"/>
      <c r="H151" s="140">
        <f t="shared" si="21"/>
        <v>0</v>
      </c>
      <c r="I151" s="154"/>
      <c r="J151" s="141">
        <f t="shared" si="22"/>
        <v>0</v>
      </c>
      <c r="K151" s="142">
        <f t="shared" si="23"/>
        <v>0</v>
      </c>
    </row>
    <row r="152" spans="1:11" ht="15.75">
      <c r="A152" s="60"/>
      <c r="B152" s="434"/>
      <c r="C152" s="308"/>
      <c r="D152" s="61"/>
      <c r="E152" s="308"/>
      <c r="F152" s="309"/>
      <c r="G152" s="62"/>
      <c r="H152" s="140">
        <f t="shared" si="21"/>
        <v>0</v>
      </c>
      <c r="I152" s="39"/>
      <c r="J152" s="141">
        <f t="shared" si="22"/>
        <v>0</v>
      </c>
      <c r="K152" s="142">
        <f t="shared" si="23"/>
        <v>0</v>
      </c>
    </row>
    <row r="153" spans="1:11" ht="15.75">
      <c r="A153" s="60"/>
      <c r="B153" s="434"/>
      <c r="C153" s="308"/>
      <c r="D153" s="61"/>
      <c r="E153" s="308"/>
      <c r="F153" s="309"/>
      <c r="G153" s="62"/>
      <c r="H153" s="140">
        <f t="shared" si="21"/>
        <v>0</v>
      </c>
      <c r="I153" s="39"/>
      <c r="J153" s="141">
        <f t="shared" si="22"/>
        <v>0</v>
      </c>
      <c r="K153" s="142">
        <f t="shared" si="23"/>
        <v>0</v>
      </c>
    </row>
    <row r="154" spans="1:11" ht="15.75">
      <c r="A154" s="60"/>
      <c r="B154" s="434"/>
      <c r="C154" s="308"/>
      <c r="D154" s="61"/>
      <c r="E154" s="308"/>
      <c r="F154" s="309"/>
      <c r="G154" s="62"/>
      <c r="H154" s="140">
        <f t="shared" si="21"/>
        <v>0</v>
      </c>
      <c r="I154" s="39"/>
      <c r="J154" s="141">
        <f t="shared" si="22"/>
        <v>0</v>
      </c>
      <c r="K154" s="142">
        <f t="shared" si="23"/>
        <v>0</v>
      </c>
    </row>
    <row r="155" spans="1:11" ht="16.5" thickBot="1">
      <c r="A155" s="60"/>
      <c r="B155" s="434"/>
      <c r="C155" s="308"/>
      <c r="D155" s="61"/>
      <c r="E155" s="308"/>
      <c r="F155" s="309"/>
      <c r="G155" s="62"/>
      <c r="H155" s="140">
        <f t="shared" si="21"/>
        <v>0</v>
      </c>
      <c r="I155" s="39"/>
      <c r="J155" s="141">
        <f t="shared" si="22"/>
        <v>0</v>
      </c>
      <c r="K155" s="142">
        <f t="shared" si="23"/>
        <v>0</v>
      </c>
    </row>
    <row r="156" spans="1:11" ht="16.5" hidden="1" thickBot="1">
      <c r="A156" s="60"/>
      <c r="B156" s="434"/>
      <c r="C156" s="308"/>
      <c r="D156" s="61"/>
      <c r="E156" s="308"/>
      <c r="F156" s="309"/>
      <c r="G156" s="62"/>
      <c r="H156" s="140">
        <f t="shared" si="21"/>
        <v>0</v>
      </c>
      <c r="I156" s="39"/>
      <c r="J156" s="141">
        <f t="shared" si="22"/>
        <v>0</v>
      </c>
      <c r="K156" s="142">
        <f t="shared" si="23"/>
        <v>0</v>
      </c>
    </row>
    <row r="157" spans="1:11" ht="16.5" hidden="1" thickBot="1">
      <c r="A157" s="60"/>
      <c r="B157" s="434"/>
      <c r="C157" s="308"/>
      <c r="D157" s="61"/>
      <c r="E157" s="308"/>
      <c r="F157" s="309"/>
      <c r="G157" s="62"/>
      <c r="H157" s="140">
        <f t="shared" si="21"/>
        <v>0</v>
      </c>
      <c r="I157" s="39"/>
      <c r="J157" s="141">
        <f t="shared" si="22"/>
        <v>0</v>
      </c>
      <c r="K157" s="142">
        <f t="shared" si="23"/>
        <v>0</v>
      </c>
    </row>
    <row r="158" spans="1:11" ht="16.5" hidden="1" thickBot="1">
      <c r="A158" s="60"/>
      <c r="B158" s="434"/>
      <c r="C158" s="308"/>
      <c r="D158" s="61"/>
      <c r="E158" s="308"/>
      <c r="F158" s="309"/>
      <c r="G158" s="62"/>
      <c r="H158" s="140">
        <f t="shared" si="21"/>
        <v>0</v>
      </c>
      <c r="I158" s="39"/>
      <c r="J158" s="141">
        <f t="shared" si="22"/>
        <v>0</v>
      </c>
      <c r="K158" s="142">
        <f t="shared" si="23"/>
        <v>0</v>
      </c>
    </row>
    <row r="159" spans="1:11" ht="16.5" hidden="1" thickBot="1">
      <c r="A159" s="60"/>
      <c r="B159" s="434"/>
      <c r="C159" s="308"/>
      <c r="D159" s="61"/>
      <c r="E159" s="308"/>
      <c r="F159" s="309"/>
      <c r="G159" s="62"/>
      <c r="H159" s="140">
        <f t="shared" si="21"/>
        <v>0</v>
      </c>
      <c r="I159" s="39"/>
      <c r="J159" s="141">
        <f t="shared" si="22"/>
        <v>0</v>
      </c>
      <c r="K159" s="142">
        <f t="shared" si="23"/>
        <v>0</v>
      </c>
    </row>
    <row r="160" spans="1:11" ht="16.5" hidden="1" thickBot="1">
      <c r="A160" s="60"/>
      <c r="B160" s="434"/>
      <c r="C160" s="308"/>
      <c r="D160" s="61"/>
      <c r="E160" s="308"/>
      <c r="F160" s="309"/>
      <c r="G160" s="62"/>
      <c r="H160" s="140">
        <f t="shared" si="21"/>
        <v>0</v>
      </c>
      <c r="I160" s="39"/>
      <c r="J160" s="141">
        <f t="shared" si="22"/>
        <v>0</v>
      </c>
      <c r="K160" s="142">
        <f t="shared" si="23"/>
        <v>0</v>
      </c>
    </row>
    <row r="161" spans="1:11" ht="16.5" hidden="1" thickBot="1">
      <c r="A161" s="60"/>
      <c r="B161" s="434"/>
      <c r="C161" s="308"/>
      <c r="D161" s="61"/>
      <c r="E161" s="308"/>
      <c r="F161" s="309"/>
      <c r="G161" s="62"/>
      <c r="H161" s="140">
        <f t="shared" si="21"/>
        <v>0</v>
      </c>
      <c r="I161" s="39"/>
      <c r="J161" s="141">
        <f t="shared" si="22"/>
        <v>0</v>
      </c>
      <c r="K161" s="142">
        <f t="shared" si="23"/>
        <v>0</v>
      </c>
    </row>
    <row r="162" spans="1:11" ht="16.5" hidden="1" thickBot="1">
      <c r="A162" s="60"/>
      <c r="B162" s="434"/>
      <c r="C162" s="308"/>
      <c r="D162" s="61"/>
      <c r="E162" s="308"/>
      <c r="F162" s="309"/>
      <c r="G162" s="62"/>
      <c r="H162" s="140">
        <f t="shared" si="21"/>
        <v>0</v>
      </c>
      <c r="I162" s="39"/>
      <c r="J162" s="141">
        <f t="shared" si="22"/>
        <v>0</v>
      </c>
      <c r="K162" s="142">
        <f t="shared" si="23"/>
        <v>0</v>
      </c>
    </row>
    <row r="163" spans="1:11" ht="16.5" hidden="1" thickBot="1">
      <c r="A163" s="60"/>
      <c r="B163" s="434"/>
      <c r="C163" s="308"/>
      <c r="D163" s="61"/>
      <c r="E163" s="308"/>
      <c r="F163" s="309"/>
      <c r="G163" s="62"/>
      <c r="H163" s="140">
        <f t="shared" si="21"/>
        <v>0</v>
      </c>
      <c r="I163" s="39"/>
      <c r="J163" s="141">
        <f t="shared" si="22"/>
        <v>0</v>
      </c>
      <c r="K163" s="142">
        <f t="shared" si="23"/>
        <v>0</v>
      </c>
    </row>
    <row r="164" spans="1:11" ht="16.5" hidden="1" thickBot="1">
      <c r="A164" s="60"/>
      <c r="B164" s="434"/>
      <c r="C164" s="308"/>
      <c r="D164" s="61"/>
      <c r="E164" s="308"/>
      <c r="F164" s="309"/>
      <c r="G164" s="62"/>
      <c r="H164" s="140">
        <f t="shared" si="21"/>
        <v>0</v>
      </c>
      <c r="I164" s="39"/>
      <c r="J164" s="141">
        <f t="shared" si="22"/>
        <v>0</v>
      </c>
      <c r="K164" s="142">
        <f t="shared" si="23"/>
        <v>0</v>
      </c>
    </row>
    <row r="165" spans="1:11" ht="16.5" hidden="1" thickBot="1">
      <c r="A165" s="60"/>
      <c r="B165" s="434"/>
      <c r="C165" s="308"/>
      <c r="D165" s="61"/>
      <c r="E165" s="308"/>
      <c r="F165" s="309"/>
      <c r="G165" s="62"/>
      <c r="H165" s="140">
        <f t="shared" si="21"/>
        <v>0</v>
      </c>
      <c r="I165" s="39"/>
      <c r="J165" s="141">
        <f t="shared" si="22"/>
        <v>0</v>
      </c>
      <c r="K165" s="142">
        <f t="shared" si="23"/>
        <v>0</v>
      </c>
    </row>
    <row r="166" spans="1:11" ht="16.5" hidden="1" thickBot="1">
      <c r="A166" s="60"/>
      <c r="B166" s="434"/>
      <c r="C166" s="308"/>
      <c r="D166" s="61"/>
      <c r="E166" s="308"/>
      <c r="F166" s="309"/>
      <c r="G166" s="62"/>
      <c r="H166" s="140">
        <f t="shared" si="21"/>
        <v>0</v>
      </c>
      <c r="I166" s="39"/>
      <c r="J166" s="141">
        <f t="shared" si="22"/>
        <v>0</v>
      </c>
      <c r="K166" s="142">
        <f t="shared" si="23"/>
        <v>0</v>
      </c>
    </row>
    <row r="167" spans="1:11" ht="16.5" hidden="1" thickBot="1">
      <c r="A167" s="60"/>
      <c r="B167" s="434"/>
      <c r="C167" s="308"/>
      <c r="D167" s="61"/>
      <c r="E167" s="308"/>
      <c r="F167" s="309"/>
      <c r="G167" s="62"/>
      <c r="H167" s="140">
        <f t="shared" si="21"/>
        <v>0</v>
      </c>
      <c r="I167" s="39"/>
      <c r="J167" s="141">
        <f t="shared" si="22"/>
        <v>0</v>
      </c>
      <c r="K167" s="142">
        <f t="shared" si="23"/>
        <v>0</v>
      </c>
    </row>
    <row r="168" spans="1:11" ht="16.5" hidden="1" thickBot="1">
      <c r="A168" s="60"/>
      <c r="B168" s="434"/>
      <c r="C168" s="308"/>
      <c r="D168" s="61"/>
      <c r="E168" s="308"/>
      <c r="F168" s="309"/>
      <c r="G168" s="62"/>
      <c r="H168" s="140">
        <f t="shared" si="21"/>
        <v>0</v>
      </c>
      <c r="I168" s="39"/>
      <c r="J168" s="141">
        <f t="shared" si="22"/>
        <v>0</v>
      </c>
      <c r="K168" s="142">
        <f t="shared" si="23"/>
        <v>0</v>
      </c>
    </row>
    <row r="169" spans="1:11" ht="16.5" hidden="1" thickBot="1">
      <c r="A169" s="60"/>
      <c r="B169" s="434"/>
      <c r="C169" s="308"/>
      <c r="D169" s="61"/>
      <c r="E169" s="308"/>
      <c r="F169" s="309"/>
      <c r="G169" s="62"/>
      <c r="H169" s="140">
        <f t="shared" si="21"/>
        <v>0</v>
      </c>
      <c r="I169" s="39"/>
      <c r="J169" s="141">
        <f t="shared" si="22"/>
        <v>0</v>
      </c>
      <c r="K169" s="142">
        <f t="shared" si="23"/>
        <v>0</v>
      </c>
    </row>
    <row r="170" spans="1:11" ht="16.5" hidden="1" thickBot="1">
      <c r="A170" s="60"/>
      <c r="B170" s="434"/>
      <c r="C170" s="308"/>
      <c r="D170" s="61"/>
      <c r="E170" s="308"/>
      <c r="F170" s="309"/>
      <c r="G170" s="62"/>
      <c r="H170" s="140">
        <f t="shared" si="21"/>
        <v>0</v>
      </c>
      <c r="I170" s="39"/>
      <c r="J170" s="141">
        <f t="shared" si="22"/>
        <v>0</v>
      </c>
      <c r="K170" s="142">
        <f t="shared" si="23"/>
        <v>0</v>
      </c>
    </row>
    <row r="171" spans="1:11" ht="16.5" hidden="1" thickBot="1">
      <c r="A171" s="60"/>
      <c r="B171" s="434"/>
      <c r="C171" s="308"/>
      <c r="D171" s="61"/>
      <c r="E171" s="308"/>
      <c r="F171" s="309"/>
      <c r="G171" s="62"/>
      <c r="H171" s="140">
        <f t="shared" si="21"/>
        <v>0</v>
      </c>
      <c r="I171" s="39"/>
      <c r="J171" s="141">
        <f t="shared" si="22"/>
        <v>0</v>
      </c>
      <c r="K171" s="142">
        <f t="shared" si="23"/>
        <v>0</v>
      </c>
    </row>
    <row r="172" spans="1:11" ht="16.5" hidden="1" thickBot="1">
      <c r="A172" s="60"/>
      <c r="B172" s="434"/>
      <c r="C172" s="308"/>
      <c r="D172" s="61"/>
      <c r="E172" s="308"/>
      <c r="F172" s="309"/>
      <c r="G172" s="62"/>
      <c r="H172" s="140">
        <f t="shared" si="21"/>
        <v>0</v>
      </c>
      <c r="I172" s="39"/>
      <c r="J172" s="141">
        <f t="shared" si="22"/>
        <v>0</v>
      </c>
      <c r="K172" s="142">
        <f t="shared" si="23"/>
        <v>0</v>
      </c>
    </row>
    <row r="173" spans="1:11" ht="16.5" hidden="1" thickBot="1">
      <c r="A173" s="60"/>
      <c r="B173" s="434"/>
      <c r="C173" s="308"/>
      <c r="D173" s="61"/>
      <c r="E173" s="308"/>
      <c r="F173" s="309"/>
      <c r="G173" s="62"/>
      <c r="H173" s="140">
        <f t="shared" si="21"/>
        <v>0</v>
      </c>
      <c r="I173" s="39"/>
      <c r="J173" s="141">
        <f t="shared" si="22"/>
        <v>0</v>
      </c>
      <c r="K173" s="142">
        <f t="shared" si="23"/>
        <v>0</v>
      </c>
    </row>
    <row r="174" spans="1:11" ht="16.5" hidden="1" thickBot="1">
      <c r="A174" s="60"/>
      <c r="B174" s="434"/>
      <c r="C174" s="308"/>
      <c r="D174" s="61"/>
      <c r="E174" s="308"/>
      <c r="F174" s="309"/>
      <c r="G174" s="62"/>
      <c r="H174" s="140">
        <f t="shared" si="21"/>
        <v>0</v>
      </c>
      <c r="I174" s="39"/>
      <c r="J174" s="141">
        <f t="shared" si="22"/>
        <v>0</v>
      </c>
      <c r="K174" s="142">
        <f t="shared" si="23"/>
        <v>0</v>
      </c>
    </row>
    <row r="175" spans="1:11" ht="16.5" hidden="1" thickBot="1">
      <c r="A175" s="60"/>
      <c r="B175" s="434"/>
      <c r="C175" s="308"/>
      <c r="D175" s="61"/>
      <c r="E175" s="308"/>
      <c r="F175" s="309"/>
      <c r="G175" s="62"/>
      <c r="H175" s="140">
        <f t="shared" si="21"/>
        <v>0</v>
      </c>
      <c r="I175" s="39"/>
      <c r="J175" s="141">
        <f t="shared" si="22"/>
        <v>0</v>
      </c>
      <c r="K175" s="142">
        <f t="shared" si="23"/>
        <v>0</v>
      </c>
    </row>
    <row r="176" spans="1:11" ht="16.5" hidden="1" thickBot="1">
      <c r="A176" s="60"/>
      <c r="B176" s="434"/>
      <c r="C176" s="308"/>
      <c r="D176" s="61"/>
      <c r="E176" s="308"/>
      <c r="F176" s="309"/>
      <c r="G176" s="62"/>
      <c r="H176" s="140">
        <f t="shared" si="21"/>
        <v>0</v>
      </c>
      <c r="I176" s="39"/>
      <c r="J176" s="141">
        <f t="shared" si="22"/>
        <v>0</v>
      </c>
      <c r="K176" s="142">
        <f t="shared" si="23"/>
        <v>0</v>
      </c>
    </row>
    <row r="177" spans="1:11" ht="16.5" hidden="1" thickBot="1">
      <c r="A177" s="60"/>
      <c r="B177" s="434"/>
      <c r="C177" s="308"/>
      <c r="D177" s="61"/>
      <c r="E177" s="308"/>
      <c r="F177" s="309"/>
      <c r="G177" s="62"/>
      <c r="H177" s="140">
        <f t="shared" si="21"/>
        <v>0</v>
      </c>
      <c r="I177" s="39"/>
      <c r="J177" s="141">
        <f t="shared" si="22"/>
        <v>0</v>
      </c>
      <c r="K177" s="142">
        <f t="shared" si="23"/>
        <v>0</v>
      </c>
    </row>
    <row r="178" spans="1:11" ht="16.5" hidden="1" thickBot="1">
      <c r="A178" s="60"/>
      <c r="B178" s="434"/>
      <c r="C178" s="308"/>
      <c r="D178" s="61"/>
      <c r="E178" s="308"/>
      <c r="F178" s="309"/>
      <c r="G178" s="62"/>
      <c r="H178" s="140">
        <f t="shared" si="21"/>
        <v>0</v>
      </c>
      <c r="I178" s="39"/>
      <c r="J178" s="141">
        <f t="shared" si="22"/>
        <v>0</v>
      </c>
      <c r="K178" s="142">
        <f t="shared" si="23"/>
        <v>0</v>
      </c>
    </row>
    <row r="179" spans="1:11" ht="16.5" hidden="1" thickBot="1">
      <c r="A179" s="60"/>
      <c r="B179" s="434"/>
      <c r="C179" s="308"/>
      <c r="D179" s="61"/>
      <c r="E179" s="308"/>
      <c r="F179" s="309"/>
      <c r="G179" s="62"/>
      <c r="H179" s="140">
        <f t="shared" si="21"/>
        <v>0</v>
      </c>
      <c r="I179" s="39"/>
      <c r="J179" s="141">
        <f t="shared" si="22"/>
        <v>0</v>
      </c>
      <c r="K179" s="142">
        <f t="shared" si="23"/>
        <v>0</v>
      </c>
    </row>
    <row r="180" spans="1:11" ht="16.5" thickBot="1">
      <c r="A180" s="421"/>
      <c r="B180" s="422"/>
      <c r="C180" s="321"/>
      <c r="D180" s="27"/>
      <c r="E180" s="27"/>
      <c r="F180" s="28"/>
      <c r="G180" s="50" t="s">
        <v>100</v>
      </c>
      <c r="H180" s="30"/>
      <c r="I180" s="31"/>
      <c r="J180" s="52"/>
      <c r="K180" s="43">
        <f>SUM(K149:K179)</f>
        <v>0</v>
      </c>
    </row>
    <row r="181" spans="1:11" ht="16.5" hidden="1" thickBot="1">
      <c r="A181" s="32" t="s">
        <v>39</v>
      </c>
      <c r="B181" s="435"/>
      <c r="C181" s="35"/>
      <c r="D181" s="33"/>
      <c r="E181" s="33"/>
      <c r="F181" s="58"/>
      <c r="G181" s="59"/>
      <c r="H181" s="34">
        <v>0.03</v>
      </c>
      <c r="I181" s="35"/>
      <c r="J181" s="34">
        <v>0.03</v>
      </c>
      <c r="K181" s="36"/>
    </row>
    <row r="182" spans="1:11" ht="16.5" hidden="1" thickBot="1">
      <c r="A182" s="436" t="s">
        <v>10</v>
      </c>
      <c r="B182" s="305" t="s">
        <v>28</v>
      </c>
      <c r="C182" s="44" t="s">
        <v>12</v>
      </c>
      <c r="D182" s="45"/>
      <c r="E182" s="674" t="s">
        <v>13</v>
      </c>
      <c r="F182" s="674"/>
      <c r="G182" s="46" t="s">
        <v>14</v>
      </c>
      <c r="H182" s="46" t="s">
        <v>15</v>
      </c>
      <c r="I182" s="47" t="s">
        <v>20</v>
      </c>
      <c r="J182" s="47" t="s">
        <v>16</v>
      </c>
      <c r="K182" s="54" t="s">
        <v>17</v>
      </c>
    </row>
    <row r="183" spans="1:11" ht="16.5" hidden="1" thickBot="1">
      <c r="A183" s="437"/>
      <c r="B183" s="438"/>
      <c r="C183" s="327"/>
      <c r="D183" s="103"/>
      <c r="E183" s="103"/>
      <c r="F183" s="104"/>
      <c r="G183" s="105"/>
      <c r="H183" s="106"/>
      <c r="I183" s="107"/>
      <c r="J183" s="108"/>
      <c r="K183" s="109"/>
    </row>
    <row r="184" spans="1:11" ht="16.5" hidden="1" thickBot="1">
      <c r="A184" s="437"/>
      <c r="B184" s="438"/>
      <c r="C184" s="327"/>
      <c r="D184" s="103"/>
      <c r="E184" s="103"/>
      <c r="F184" s="104"/>
      <c r="G184" s="105"/>
      <c r="H184" s="106"/>
      <c r="I184" s="107"/>
      <c r="J184" s="108"/>
      <c r="K184" s="109"/>
    </row>
    <row r="185" spans="1:11" ht="16.5" hidden="1" thickBot="1">
      <c r="A185" s="437"/>
      <c r="B185" s="438"/>
      <c r="C185" s="327"/>
      <c r="D185" s="103"/>
      <c r="E185" s="103"/>
      <c r="F185" s="104"/>
      <c r="G185" s="105"/>
      <c r="H185" s="106"/>
      <c r="I185" s="107"/>
      <c r="J185" s="108"/>
      <c r="K185" s="109"/>
    </row>
    <row r="186" spans="1:11" ht="16.5" hidden="1" thickBot="1">
      <c r="A186" s="437"/>
      <c r="B186" s="438"/>
      <c r="C186" s="327"/>
      <c r="D186" s="103"/>
      <c r="E186" s="103"/>
      <c r="F186" s="104"/>
      <c r="G186" s="105"/>
      <c r="H186" s="106"/>
      <c r="I186" s="107"/>
      <c r="J186" s="108"/>
      <c r="K186" s="109"/>
    </row>
    <row r="187" spans="1:11" ht="16.5" hidden="1" thickBot="1">
      <c r="A187" s="437"/>
      <c r="B187" s="438"/>
      <c r="C187" s="327"/>
      <c r="D187" s="103"/>
      <c r="E187" s="103"/>
      <c r="F187" s="104"/>
      <c r="G187" s="105"/>
      <c r="H187" s="106"/>
      <c r="I187" s="107"/>
      <c r="J187" s="108"/>
      <c r="K187" s="109"/>
    </row>
    <row r="188" spans="1:11" ht="16.5" hidden="1" thickBot="1">
      <c r="A188" s="437"/>
      <c r="B188" s="438"/>
      <c r="C188" s="327"/>
      <c r="D188" s="103"/>
      <c r="E188" s="103"/>
      <c r="F188" s="104"/>
      <c r="G188" s="105"/>
      <c r="H188" s="106"/>
      <c r="I188" s="107"/>
      <c r="J188" s="108"/>
      <c r="K188" s="109"/>
    </row>
    <row r="189" spans="1:11" ht="16.5" hidden="1" thickBot="1">
      <c r="A189" s="437"/>
      <c r="B189" s="438"/>
      <c r="C189" s="327"/>
      <c r="D189" s="103"/>
      <c r="E189" s="103"/>
      <c r="F189" s="104"/>
      <c r="G189" s="105"/>
      <c r="H189" s="106"/>
      <c r="I189" s="107"/>
      <c r="J189" s="108"/>
      <c r="K189" s="109"/>
    </row>
    <row r="190" spans="1:11" ht="16.5" hidden="1" thickBot="1">
      <c r="A190" s="437"/>
      <c r="B190" s="438"/>
      <c r="C190" s="327"/>
      <c r="D190" s="103"/>
      <c r="E190" s="103"/>
      <c r="F190" s="104"/>
      <c r="G190" s="105"/>
      <c r="H190" s="106"/>
      <c r="I190" s="107"/>
      <c r="J190" s="108"/>
      <c r="K190" s="109"/>
    </row>
    <row r="191" spans="1:11" ht="16.5" hidden="1" thickBot="1">
      <c r="A191" s="437"/>
      <c r="B191" s="438"/>
      <c r="C191" s="327"/>
      <c r="D191" s="103"/>
      <c r="E191" s="103"/>
      <c r="F191" s="104"/>
      <c r="G191" s="105"/>
      <c r="H191" s="106"/>
      <c r="I191" s="107"/>
      <c r="J191" s="108"/>
      <c r="K191" s="109"/>
    </row>
    <row r="192" spans="1:11" ht="16.5" hidden="1" thickBot="1">
      <c r="A192" s="437"/>
      <c r="B192" s="438"/>
      <c r="C192" s="327"/>
      <c r="D192" s="103"/>
      <c r="E192" s="103"/>
      <c r="F192" s="104"/>
      <c r="G192" s="105"/>
      <c r="H192" s="106"/>
      <c r="I192" s="107"/>
      <c r="J192" s="108"/>
      <c r="K192" s="109"/>
    </row>
    <row r="193" spans="1:11" ht="16.5" hidden="1" thickBot="1">
      <c r="A193" s="437"/>
      <c r="B193" s="438"/>
      <c r="C193" s="327"/>
      <c r="D193" s="103"/>
      <c r="E193" s="103"/>
      <c r="F193" s="104"/>
      <c r="G193" s="105"/>
      <c r="H193" s="106"/>
      <c r="I193" s="107"/>
      <c r="J193" s="108"/>
      <c r="K193" s="109"/>
    </row>
    <row r="194" spans="1:11" ht="16.5" hidden="1" thickBot="1">
      <c r="A194" s="437"/>
      <c r="B194" s="438"/>
      <c r="C194" s="327"/>
      <c r="D194" s="103"/>
      <c r="E194" s="103"/>
      <c r="F194" s="104"/>
      <c r="G194" s="105"/>
      <c r="H194" s="106"/>
      <c r="I194" s="107"/>
      <c r="J194" s="108"/>
      <c r="K194" s="109"/>
    </row>
    <row r="195" spans="1:11" ht="16.5" hidden="1" thickBot="1">
      <c r="A195" s="437"/>
      <c r="B195" s="438"/>
      <c r="C195" s="327"/>
      <c r="D195" s="103"/>
      <c r="E195" s="103"/>
      <c r="F195" s="104"/>
      <c r="G195" s="105"/>
      <c r="H195" s="106"/>
      <c r="I195" s="107"/>
      <c r="J195" s="108"/>
      <c r="K195" s="109"/>
    </row>
    <row r="196" spans="1:11" ht="16.5" hidden="1" thickBot="1">
      <c r="A196" s="437"/>
      <c r="B196" s="438"/>
      <c r="C196" s="327"/>
      <c r="D196" s="103"/>
      <c r="E196" s="103"/>
      <c r="F196" s="104"/>
      <c r="G196" s="105"/>
      <c r="H196" s="106"/>
      <c r="I196" s="107"/>
      <c r="J196" s="108"/>
      <c r="K196" s="109"/>
    </row>
    <row r="197" spans="1:11" ht="16.5" hidden="1" thickBot="1">
      <c r="A197" s="439"/>
      <c r="B197" s="440"/>
      <c r="C197" s="328"/>
      <c r="D197" s="171"/>
      <c r="E197" s="171"/>
      <c r="F197" s="172"/>
      <c r="G197" s="173" t="s">
        <v>84</v>
      </c>
      <c r="H197" s="369"/>
      <c r="I197" s="174"/>
      <c r="J197" s="370"/>
      <c r="K197" s="388">
        <v>0</v>
      </c>
    </row>
    <row r="198" spans="1:11" s="289" customFormat="1" ht="16.5" thickBot="1">
      <c r="A198" s="239" t="s">
        <v>29</v>
      </c>
      <c r="B198" s="431"/>
      <c r="C198" s="284"/>
      <c r="D198" s="286"/>
      <c r="E198" s="286"/>
      <c r="F198" s="287"/>
      <c r="G198" s="288"/>
      <c r="H198" s="377">
        <v>0.05</v>
      </c>
      <c r="I198" s="284"/>
      <c r="J198" s="377">
        <v>0.02</v>
      </c>
      <c r="K198" s="285"/>
    </row>
    <row r="199" spans="1:11">
      <c r="A199" s="666" t="s">
        <v>29</v>
      </c>
      <c r="B199" s="667"/>
      <c r="C199" s="157" t="s">
        <v>82</v>
      </c>
      <c r="D199" s="158"/>
      <c r="E199" s="668" t="s">
        <v>13</v>
      </c>
      <c r="F199" s="668"/>
      <c r="G199" s="175" t="s">
        <v>14</v>
      </c>
      <c r="H199" s="375" t="s">
        <v>15</v>
      </c>
      <c r="I199" s="176" t="s">
        <v>20</v>
      </c>
      <c r="J199" s="376" t="s">
        <v>16</v>
      </c>
      <c r="K199" s="177" t="s">
        <v>17</v>
      </c>
    </row>
    <row r="200" spans="1:11">
      <c r="A200" s="178"/>
      <c r="B200" s="312"/>
      <c r="C200" s="148"/>
      <c r="D200" s="169"/>
      <c r="E200" s="337"/>
      <c r="F200" s="338"/>
      <c r="G200" s="168"/>
      <c r="H200" s="140">
        <f t="shared" ref="H200:H210" si="24">G200*($H$198+1)</f>
        <v>0</v>
      </c>
      <c r="I200" s="154"/>
      <c r="J200" s="313">
        <f t="shared" ref="J200:J210" si="25">I200*($J$198+1)</f>
        <v>0</v>
      </c>
      <c r="K200" s="142">
        <f t="shared" ref="K200:K210" si="26">H200*J200</f>
        <v>0</v>
      </c>
    </row>
    <row r="201" spans="1:11">
      <c r="A201" s="178"/>
      <c r="B201" s="312"/>
      <c r="C201" s="329"/>
      <c r="D201" s="180"/>
      <c r="E201" s="339"/>
      <c r="F201" s="340"/>
      <c r="G201" s="181"/>
      <c r="H201" s="140">
        <f t="shared" si="24"/>
        <v>0</v>
      </c>
      <c r="I201" s="154"/>
      <c r="J201" s="313">
        <f t="shared" si="25"/>
        <v>0</v>
      </c>
      <c r="K201" s="142">
        <f t="shared" si="26"/>
        <v>0</v>
      </c>
    </row>
    <row r="202" spans="1:11">
      <c r="A202" s="178"/>
      <c r="B202" s="312"/>
      <c r="C202" s="329"/>
      <c r="D202" s="180"/>
      <c r="E202" s="339"/>
      <c r="F202" s="341"/>
      <c r="G202" s="182"/>
      <c r="H202" s="140">
        <f t="shared" si="24"/>
        <v>0</v>
      </c>
      <c r="I202" s="154"/>
      <c r="J202" s="313">
        <f t="shared" si="25"/>
        <v>0</v>
      </c>
      <c r="K202" s="142">
        <f t="shared" si="26"/>
        <v>0</v>
      </c>
    </row>
    <row r="203" spans="1:11">
      <c r="A203" s="178"/>
      <c r="B203" s="441"/>
      <c r="C203" s="329"/>
      <c r="D203" s="180"/>
      <c r="E203" s="179"/>
      <c r="F203" s="340"/>
      <c r="G203" s="182"/>
      <c r="H203" s="140">
        <f t="shared" si="24"/>
        <v>0</v>
      </c>
      <c r="I203" s="154"/>
      <c r="J203" s="313">
        <f t="shared" si="25"/>
        <v>0</v>
      </c>
      <c r="K203" s="142">
        <f t="shared" si="26"/>
        <v>0</v>
      </c>
    </row>
    <row r="204" spans="1:11">
      <c r="A204" s="183"/>
      <c r="B204" s="442"/>
      <c r="C204" s="329"/>
      <c r="D204" s="340"/>
      <c r="E204" s="342"/>
      <c r="F204" s="343"/>
      <c r="G204" s="184"/>
      <c r="H204" s="140">
        <f t="shared" si="24"/>
        <v>0</v>
      </c>
      <c r="I204" s="154"/>
      <c r="J204" s="313">
        <f t="shared" si="25"/>
        <v>0</v>
      </c>
      <c r="K204" s="142">
        <f t="shared" si="26"/>
        <v>0</v>
      </c>
    </row>
    <row r="205" spans="1:11" ht="15.75">
      <c r="A205" s="41"/>
      <c r="B205" s="434"/>
      <c r="C205" s="403"/>
      <c r="D205" s="366"/>
      <c r="E205" s="310"/>
      <c r="F205" s="311"/>
      <c r="G205" s="62"/>
      <c r="H205" s="140">
        <f t="shared" si="24"/>
        <v>0</v>
      </c>
      <c r="I205" s="39"/>
      <c r="J205" s="313">
        <f t="shared" si="25"/>
        <v>0</v>
      </c>
      <c r="K205" s="142">
        <f t="shared" si="26"/>
        <v>0</v>
      </c>
    </row>
    <row r="206" spans="1:11" ht="15.75">
      <c r="A206" s="41"/>
      <c r="B206" s="434"/>
      <c r="C206" s="308"/>
      <c r="D206" s="63"/>
      <c r="E206" s="310"/>
      <c r="F206" s="311"/>
      <c r="G206" s="62"/>
      <c r="H206" s="140">
        <f t="shared" si="24"/>
        <v>0</v>
      </c>
      <c r="I206" s="39"/>
      <c r="J206" s="313">
        <f t="shared" si="25"/>
        <v>0</v>
      </c>
      <c r="K206" s="142">
        <f t="shared" si="26"/>
        <v>0</v>
      </c>
    </row>
    <row r="207" spans="1:11" ht="15.75">
      <c r="A207" s="41"/>
      <c r="B207" s="434"/>
      <c r="C207" s="308"/>
      <c r="D207" s="63"/>
      <c r="E207" s="310"/>
      <c r="F207" s="311"/>
      <c r="G207" s="62"/>
      <c r="H207" s="140">
        <f t="shared" si="24"/>
        <v>0</v>
      </c>
      <c r="I207" s="39"/>
      <c r="J207" s="313">
        <f t="shared" si="25"/>
        <v>0</v>
      </c>
      <c r="K207" s="142">
        <f t="shared" si="26"/>
        <v>0</v>
      </c>
    </row>
    <row r="208" spans="1:11" ht="15.75">
      <c r="A208" s="41"/>
      <c r="B208" s="434"/>
      <c r="C208" s="308"/>
      <c r="D208" s="63"/>
      <c r="E208" s="310"/>
      <c r="F208" s="311"/>
      <c r="G208" s="62"/>
      <c r="H208" s="140">
        <f t="shared" si="24"/>
        <v>0</v>
      </c>
      <c r="I208" s="39"/>
      <c r="J208" s="313">
        <f t="shared" si="25"/>
        <v>0</v>
      </c>
      <c r="K208" s="142">
        <f t="shared" si="26"/>
        <v>0</v>
      </c>
    </row>
    <row r="209" spans="1:12" ht="15.75">
      <c r="A209" s="41"/>
      <c r="B209" s="433"/>
      <c r="C209" s="330"/>
      <c r="D209" s="65"/>
      <c r="E209" s="64"/>
      <c r="F209" s="344"/>
      <c r="G209" s="56"/>
      <c r="H209" s="140">
        <f t="shared" si="24"/>
        <v>0</v>
      </c>
      <c r="I209" s="42"/>
      <c r="J209" s="313">
        <f t="shared" si="25"/>
        <v>0</v>
      </c>
      <c r="K209" s="142">
        <f t="shared" si="26"/>
        <v>0</v>
      </c>
    </row>
    <row r="210" spans="1:12" ht="16.5" thickBot="1">
      <c r="A210" s="66"/>
      <c r="B210" s="443"/>
      <c r="C210" s="331"/>
      <c r="D210" s="67"/>
      <c r="E210" s="345"/>
      <c r="F210" s="346"/>
      <c r="G210" s="68"/>
      <c r="H210" s="140">
        <f t="shared" si="24"/>
        <v>0</v>
      </c>
      <c r="I210" s="42"/>
      <c r="J210" s="313">
        <f t="shared" si="25"/>
        <v>0</v>
      </c>
      <c r="K210" s="142">
        <f t="shared" si="26"/>
        <v>0</v>
      </c>
    </row>
    <row r="211" spans="1:12" ht="15.75">
      <c r="A211" s="444"/>
      <c r="B211" s="332"/>
      <c r="C211" s="332"/>
      <c r="D211" s="290"/>
      <c r="E211" s="290"/>
      <c r="F211" s="291"/>
      <c r="G211" s="292" t="s">
        <v>30</v>
      </c>
      <c r="H211" s="293"/>
      <c r="I211" s="294"/>
      <c r="J211" s="294"/>
      <c r="K211" s="295">
        <f>SUM(K200:K210)</f>
        <v>0</v>
      </c>
    </row>
    <row r="212" spans="1:12" ht="16.5" thickBot="1">
      <c r="A212" s="669"/>
      <c r="B212" s="670"/>
      <c r="C212" s="670"/>
      <c r="D212" s="670"/>
      <c r="E212" s="670"/>
      <c r="F212" s="670"/>
      <c r="G212" s="670"/>
      <c r="H212" s="670"/>
      <c r="I212" s="670"/>
      <c r="J212" s="670"/>
      <c r="K212" s="671"/>
    </row>
    <row r="213" spans="1:12" ht="16.5" thickBot="1">
      <c r="A213" s="445"/>
      <c r="B213" s="404"/>
      <c r="C213" s="404"/>
      <c r="D213" s="389"/>
      <c r="E213" s="390"/>
      <c r="F213" s="391"/>
      <c r="G213" s="185" t="s">
        <v>31</v>
      </c>
      <c r="H213" s="186"/>
      <c r="I213" s="187"/>
      <c r="J213" s="187"/>
      <c r="K213" s="188">
        <f>G9*I9</f>
        <v>0</v>
      </c>
      <c r="L213" s="126" t="s">
        <v>101</v>
      </c>
    </row>
    <row r="214" spans="1:12" ht="16.5" thickBot="1">
      <c r="A214" s="446"/>
      <c r="B214" s="405"/>
      <c r="C214" s="405"/>
      <c r="D214" s="390"/>
      <c r="E214" s="390"/>
      <c r="F214" s="391"/>
      <c r="G214" s="189"/>
      <c r="H214" s="190"/>
      <c r="I214" s="191" t="s">
        <v>32</v>
      </c>
      <c r="J214" s="192"/>
      <c r="K214" s="156"/>
    </row>
    <row r="215" spans="1:12" ht="16.5" thickBot="1">
      <c r="A215" s="447"/>
      <c r="B215" s="406"/>
      <c r="C215" s="406"/>
      <c r="D215" s="392"/>
      <c r="E215" s="393" t="s">
        <v>34</v>
      </c>
      <c r="F215" s="394"/>
      <c r="G215" s="76" t="s">
        <v>35</v>
      </c>
      <c r="H215" s="77"/>
      <c r="I215" s="78"/>
      <c r="J215" s="79"/>
      <c r="K215" s="80">
        <f>K31+K61+K112+K213+K146+K211+K180</f>
        <v>0</v>
      </c>
    </row>
    <row r="216" spans="1:12" s="215" customFormat="1" ht="16.5" thickBot="1">
      <c r="A216" s="447"/>
      <c r="B216" s="406"/>
      <c r="C216" s="406"/>
      <c r="D216" s="392"/>
      <c r="E216" s="393"/>
      <c r="F216" s="394"/>
      <c r="G216" s="216"/>
      <c r="H216" s="217"/>
      <c r="I216" s="212"/>
      <c r="J216" s="218"/>
      <c r="K216" s="214"/>
    </row>
    <row r="217" spans="1:12" ht="16.5" thickBot="1">
      <c r="A217" s="446"/>
      <c r="B217" s="405"/>
      <c r="C217" s="405"/>
      <c r="D217" s="390"/>
      <c r="E217" s="390"/>
      <c r="F217" s="391"/>
      <c r="G217" s="185" t="s">
        <v>33</v>
      </c>
      <c r="H217" s="186"/>
      <c r="I217" s="193"/>
      <c r="J217" s="333">
        <v>0.05</v>
      </c>
      <c r="K217" s="188">
        <f>J217*K215</f>
        <v>0</v>
      </c>
      <c r="L217" s="126" t="s">
        <v>102</v>
      </c>
    </row>
    <row r="218" spans="1:12" ht="16.5" thickBot="1">
      <c r="A218" s="448"/>
      <c r="B218" s="407"/>
      <c r="C218" s="407"/>
      <c r="D218" s="395"/>
      <c r="E218" s="395"/>
      <c r="F218" s="396"/>
      <c r="G218" s="297"/>
      <c r="H218" s="71"/>
      <c r="I218" s="73"/>
      <c r="J218" s="74"/>
      <c r="K218" s="75"/>
    </row>
    <row r="219" spans="1:12" ht="16.5" thickBot="1">
      <c r="A219" s="446"/>
      <c r="B219" s="405"/>
      <c r="C219" s="405"/>
      <c r="D219" s="390"/>
      <c r="E219" s="390"/>
      <c r="F219" s="391"/>
      <c r="G219" s="98" t="s">
        <v>104</v>
      </c>
      <c r="H219" s="99"/>
      <c r="I219" s="100"/>
      <c r="J219" s="101"/>
      <c r="K219" s="102">
        <f>K215+K217</f>
        <v>0</v>
      </c>
    </row>
    <row r="220" spans="1:12" ht="15.75" thickBot="1">
      <c r="A220" s="397"/>
      <c r="B220" s="408"/>
      <c r="C220" s="408"/>
      <c r="D220" s="398"/>
      <c r="E220" s="398"/>
      <c r="F220" s="399"/>
      <c r="G220" s="298"/>
      <c r="H220" s="86"/>
      <c r="I220" s="87"/>
      <c r="J220" s="88"/>
      <c r="K220" s="89"/>
    </row>
    <row r="221" spans="1:12" ht="16.5" thickBot="1">
      <c r="A221" s="446"/>
      <c r="B221" s="405"/>
      <c r="C221" s="405"/>
      <c r="D221" s="390"/>
      <c r="E221" s="390"/>
      <c r="F221" s="391"/>
      <c r="G221" s="90" t="s">
        <v>36</v>
      </c>
      <c r="H221" s="91"/>
      <c r="I221" s="92"/>
      <c r="J221" s="334">
        <v>0.1</v>
      </c>
      <c r="K221" s="93">
        <f>J221*K219</f>
        <v>0</v>
      </c>
      <c r="L221" s="126" t="s">
        <v>126</v>
      </c>
    </row>
    <row r="222" spans="1:12" ht="16.5" thickBot="1">
      <c r="A222" s="397"/>
      <c r="B222" s="408"/>
      <c r="C222" s="408"/>
      <c r="D222" s="398"/>
      <c r="E222" s="398"/>
      <c r="F222" s="399"/>
      <c r="G222" s="296"/>
      <c r="H222" s="71"/>
      <c r="I222" s="69"/>
      <c r="J222" s="70"/>
      <c r="K222" s="36"/>
    </row>
    <row r="223" spans="1:12" ht="16.5" thickBot="1">
      <c r="A223" s="446"/>
      <c r="B223" s="405"/>
      <c r="C223" s="405"/>
      <c r="D223" s="390"/>
      <c r="E223" s="390"/>
      <c r="F223" s="391"/>
      <c r="G223" s="219" t="s">
        <v>106</v>
      </c>
      <c r="H223" s="220"/>
      <c r="I223" s="221"/>
      <c r="J223" s="222"/>
      <c r="K223" s="223">
        <f>K221+K219</f>
        <v>0</v>
      </c>
    </row>
    <row r="224" spans="1:12" ht="16.5" thickBot="1">
      <c r="A224" s="397"/>
      <c r="B224" s="408"/>
      <c r="C224" s="408"/>
      <c r="D224" s="398"/>
      <c r="E224" s="398"/>
      <c r="F224" s="399"/>
      <c r="G224" s="296"/>
      <c r="H224" s="71"/>
      <c r="I224" s="69"/>
      <c r="J224" s="70"/>
      <c r="K224" s="36"/>
    </row>
    <row r="225" spans="1:11" ht="16.5" thickBot="1">
      <c r="A225" s="446"/>
      <c r="B225" s="405"/>
      <c r="C225" s="405"/>
      <c r="D225" s="390"/>
      <c r="E225" s="390"/>
      <c r="F225" s="391"/>
      <c r="G225" s="98" t="s">
        <v>37</v>
      </c>
      <c r="H225" s="99"/>
      <c r="I225" s="100"/>
      <c r="J225" s="101"/>
      <c r="K225" s="335">
        <v>0</v>
      </c>
    </row>
    <row r="226" spans="1:11" s="215" customFormat="1" ht="16.5" thickBot="1">
      <c r="A226" s="397"/>
      <c r="B226" s="408"/>
      <c r="C226" s="408"/>
      <c r="D226" s="398"/>
      <c r="E226" s="398"/>
      <c r="F226" s="399"/>
      <c r="G226" s="210"/>
      <c r="H226" s="211"/>
      <c r="I226" s="212"/>
      <c r="J226" s="213"/>
      <c r="K226" s="214"/>
    </row>
    <row r="227" spans="1:11" ht="16.5" thickBot="1">
      <c r="A227" s="446"/>
      <c r="B227" s="405"/>
      <c r="C227" s="405"/>
      <c r="D227" s="390"/>
      <c r="E227" s="390"/>
      <c r="F227" s="391"/>
      <c r="G227" s="81" t="s">
        <v>103</v>
      </c>
      <c r="H227" s="82"/>
      <c r="I227" s="83"/>
      <c r="J227" s="334">
        <v>0.03</v>
      </c>
      <c r="K227" s="85">
        <f>J227*K225</f>
        <v>0</v>
      </c>
    </row>
    <row r="228" spans="1:11" s="215" customFormat="1" ht="16.5" thickBot="1">
      <c r="A228" s="397"/>
      <c r="B228" s="408"/>
      <c r="C228" s="408"/>
      <c r="D228" s="398"/>
      <c r="E228" s="398"/>
      <c r="F228" s="399"/>
      <c r="G228" s="210"/>
      <c r="H228" s="211"/>
      <c r="I228" s="212"/>
      <c r="J228" s="213"/>
      <c r="K228" s="214"/>
    </row>
    <row r="229" spans="1:11" ht="16.5" thickBot="1">
      <c r="A229" s="446"/>
      <c r="B229" s="405"/>
      <c r="C229" s="405"/>
      <c r="D229" s="390"/>
      <c r="E229" s="390"/>
      <c r="F229" s="391"/>
      <c r="G229" s="81" t="s">
        <v>105</v>
      </c>
      <c r="H229" s="82"/>
      <c r="I229" s="83"/>
      <c r="J229" s="84"/>
      <c r="K229" s="85">
        <f>K225+K227</f>
        <v>0</v>
      </c>
    </row>
    <row r="230" spans="1:11" ht="16.5" thickBot="1">
      <c r="A230" s="397"/>
      <c r="B230" s="408"/>
      <c r="C230" s="408"/>
      <c r="D230" s="398"/>
      <c r="E230" s="398"/>
      <c r="F230" s="399"/>
      <c r="G230" s="296"/>
      <c r="H230" s="71"/>
      <c r="I230" s="69"/>
      <c r="J230" s="70"/>
      <c r="K230" s="36"/>
    </row>
    <row r="231" spans="1:11" ht="16.5" thickBot="1">
      <c r="A231" s="449"/>
      <c r="B231" s="409"/>
      <c r="C231" s="409"/>
      <c r="D231" s="400"/>
      <c r="E231" s="400"/>
      <c r="F231" s="401"/>
      <c r="G231" s="94" t="s">
        <v>38</v>
      </c>
      <c r="H231" s="95"/>
      <c r="I231" s="96"/>
      <c r="J231" s="97"/>
      <c r="K231" s="336">
        <v>0</v>
      </c>
    </row>
  </sheetData>
  <sheetProtection sheet="1" formatCells="0" formatColumns="0" formatRows="0" insertHyperlinks="0" sort="0" autoFilter="0" pivotTables="0"/>
  <protectedRanges>
    <protectedRange sqref="I13" name="request"/>
    <protectedRange sqref="J217 J221 K225 J227 K231" name="TOTAL"/>
    <protectedRange sqref="H147 J147 A149:G179 I149:I179" name="WASHING"/>
    <protectedRange sqref="A14:G20 A23:G29 I14:I20 I23:I29 H13 J13 H22 J22" name="FABRIC"/>
    <protectedRange sqref="B4:C9 E4:E9 G3:J7 G9 I9" name="HEADER"/>
    <protectedRange sqref="H34 J34 I76:I80 H48 J48 I101:I105 A76:G80 I35:I46 A35:G46 A101:G105 I49:I59 A49:G59" name="SPECIAL TRIMS"/>
    <protectedRange sqref="H64 J64 I81:I86 A106:G110 H88 J88 A81:G86 I65:I75 A65:G75 A89:G100 I89:I100 I106:I110" name="TRIMS"/>
    <protectedRange sqref="H113 J113 A115:G145 I115:I145" name="EMBELLISHMENT"/>
    <protectedRange sqref="H198 J198 A200:G210 I200:I210" name="MISCELLENEOUS"/>
    <protectedRange sqref="M2:XFD1048576" name="EMPTY AREA"/>
  </protectedRanges>
  <mergeCells count="22">
    <mergeCell ref="E33:F33"/>
    <mergeCell ref="A2:K2"/>
    <mergeCell ref="A13:G13"/>
    <mergeCell ref="A21:J21"/>
    <mergeCell ref="A22:G22"/>
    <mergeCell ref="A30:J30"/>
    <mergeCell ref="E114:F114"/>
    <mergeCell ref="A34:G34"/>
    <mergeCell ref="A47:J47"/>
    <mergeCell ref="A48:G48"/>
    <mergeCell ref="A60:J60"/>
    <mergeCell ref="E63:F63"/>
    <mergeCell ref="A64:G64"/>
    <mergeCell ref="A87:J87"/>
    <mergeCell ref="A88:G88"/>
    <mergeCell ref="A111:J111"/>
    <mergeCell ref="A199:B199"/>
    <mergeCell ref="E199:F199"/>
    <mergeCell ref="A212:K212"/>
    <mergeCell ref="E145:F145"/>
    <mergeCell ref="E148:F148"/>
    <mergeCell ref="E182:F182"/>
  </mergeCells>
  <pageMargins left="1.299212598425197" right="0.70866141732283472" top="0.74803149606299213" bottom="0.74803149606299213" header="0.31496062992125984" footer="0.31496062992125984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231"/>
  <sheetViews>
    <sheetView tabSelected="1" zoomScale="62" zoomScaleNormal="62" workbookViewId="0">
      <selection activeCell="E8" sqref="E8"/>
    </sheetView>
  </sheetViews>
  <sheetFormatPr defaultColWidth="8.85546875" defaultRowHeight="15"/>
  <cols>
    <col min="1" max="1" width="26.42578125" style="451" customWidth="1"/>
    <col min="2" max="2" width="56.85546875" style="451" customWidth="1"/>
    <col min="3" max="3" width="15.28515625" style="451" customWidth="1"/>
    <col min="4" max="4" width="19.7109375" style="126" customWidth="1"/>
    <col min="5" max="5" width="18.140625" style="126" customWidth="1"/>
    <col min="6" max="6" width="20.85546875" style="126" customWidth="1"/>
    <col min="7" max="7" width="18.42578125" style="126" customWidth="1"/>
    <col min="8" max="8" width="10" style="126" bestFit="1" customWidth="1"/>
    <col min="9" max="9" width="11.42578125" style="126" customWidth="1"/>
    <col min="10" max="10" width="14.42578125" style="126" customWidth="1"/>
    <col min="11" max="11" width="27.5703125" style="126" customWidth="1"/>
    <col min="12" max="16384" width="8.85546875" style="126"/>
  </cols>
  <sheetData>
    <row r="1" spans="1:11" ht="18" thickBot="1">
      <c r="A1" s="1"/>
      <c r="B1" s="315"/>
      <c r="C1" s="315"/>
      <c r="D1" s="2"/>
      <c r="E1" s="2"/>
      <c r="F1" s="3"/>
      <c r="G1" s="4"/>
      <c r="H1" s="4"/>
      <c r="I1" s="5"/>
      <c r="J1" s="6"/>
      <c r="K1" s="7"/>
    </row>
    <row r="2" spans="1:11" ht="17.25">
      <c r="A2" s="686" t="s">
        <v>0</v>
      </c>
      <c r="B2" s="687"/>
      <c r="C2" s="687"/>
      <c r="D2" s="687"/>
      <c r="E2" s="687"/>
      <c r="F2" s="687"/>
      <c r="G2" s="687"/>
      <c r="H2" s="687"/>
      <c r="I2" s="687"/>
      <c r="J2" s="687"/>
      <c r="K2" s="688"/>
    </row>
    <row r="3" spans="1:11" ht="20.25">
      <c r="A3" s="8"/>
      <c r="B3" s="316"/>
      <c r="C3" s="316"/>
      <c r="D3" s="9"/>
      <c r="E3" s="9"/>
      <c r="F3" s="10"/>
      <c r="G3" s="650" t="s">
        <v>149</v>
      </c>
      <c r="H3" s="646"/>
      <c r="I3" s="647"/>
      <c r="J3" s="648"/>
      <c r="K3" s="12"/>
    </row>
    <row r="4" spans="1:11" ht="15.75" customHeight="1">
      <c r="A4" s="573" t="s">
        <v>1</v>
      </c>
      <c r="B4" s="580" t="s">
        <v>153</v>
      </c>
      <c r="C4" s="317"/>
      <c r="D4" s="574" t="s">
        <v>2</v>
      </c>
      <c r="E4" s="576"/>
      <c r="F4" s="72"/>
      <c r="G4" s="649"/>
      <c r="H4" s="643"/>
      <c r="I4" s="644"/>
      <c r="J4" s="644"/>
      <c r="K4" s="14"/>
    </row>
    <row r="5" spans="1:11" ht="15.75">
      <c r="A5" s="573" t="s">
        <v>3</v>
      </c>
      <c r="B5" s="580" t="s">
        <v>152</v>
      </c>
      <c r="C5" s="485"/>
      <c r="D5" s="574" t="s">
        <v>4</v>
      </c>
      <c r="E5" s="577" t="s">
        <v>179</v>
      </c>
      <c r="F5" s="15"/>
      <c r="G5" s="649"/>
      <c r="H5" s="13"/>
      <c r="I5" s="71"/>
      <c r="J5" s="71"/>
      <c r="K5" s="14"/>
    </row>
    <row r="6" spans="1:11" ht="15.75">
      <c r="A6" s="573" t="s">
        <v>5</v>
      </c>
      <c r="B6" s="486"/>
      <c r="C6" s="486"/>
      <c r="D6" s="574" t="s">
        <v>6</v>
      </c>
      <c r="E6" s="578"/>
      <c r="F6" s="17"/>
      <c r="G6" s="18"/>
      <c r="H6" s="18"/>
      <c r="I6" s="127"/>
      <c r="J6" s="71"/>
      <c r="K6" s="14"/>
    </row>
    <row r="7" spans="1:11" ht="16.5" thickBot="1">
      <c r="A7" s="573" t="s">
        <v>7</v>
      </c>
      <c r="B7" s="581" t="s">
        <v>150</v>
      </c>
      <c r="C7" s="487"/>
      <c r="D7" s="574" t="s">
        <v>8</v>
      </c>
      <c r="E7" s="657" t="s">
        <v>151</v>
      </c>
      <c r="F7" s="19"/>
      <c r="G7" s="20"/>
      <c r="H7" s="20"/>
      <c r="I7" s="127"/>
      <c r="J7" s="71"/>
      <c r="K7" s="14"/>
    </row>
    <row r="8" spans="1:11" ht="16.5" thickBot="1">
      <c r="A8" s="573" t="s">
        <v>134</v>
      </c>
      <c r="B8" s="581"/>
      <c r="C8" s="487"/>
      <c r="D8" s="574" t="s">
        <v>135</v>
      </c>
      <c r="E8" s="579"/>
      <c r="F8" s="21"/>
      <c r="G8" s="651" t="s">
        <v>74</v>
      </c>
      <c r="H8" s="125"/>
      <c r="I8" s="411" t="s">
        <v>75</v>
      </c>
      <c r="J8" s="71"/>
      <c r="K8" s="14"/>
    </row>
    <row r="9" spans="1:11" ht="17.25" thickBot="1">
      <c r="A9" s="573" t="s">
        <v>98</v>
      </c>
      <c r="B9" s="582" t="s">
        <v>180</v>
      </c>
      <c r="C9" s="488"/>
      <c r="D9" s="575" t="s">
        <v>86</v>
      </c>
      <c r="E9" s="578"/>
      <c r="F9" s="124"/>
      <c r="G9" s="656">
        <v>25.63</v>
      </c>
      <c r="H9" s="20"/>
      <c r="I9" s="380">
        <v>0.06</v>
      </c>
      <c r="J9" s="71"/>
      <c r="K9" s="14"/>
    </row>
    <row r="10" spans="1:11" ht="18" thickBot="1">
      <c r="A10" s="414"/>
      <c r="B10" s="319"/>
      <c r="C10" s="319"/>
      <c r="D10" s="11"/>
      <c r="E10" s="22"/>
      <c r="F10" s="23"/>
      <c r="G10" s="383"/>
      <c r="H10" s="384"/>
      <c r="I10" s="24"/>
      <c r="J10" s="25"/>
      <c r="K10" s="385"/>
    </row>
    <row r="11" spans="1:11" ht="16.5" thickBot="1">
      <c r="A11" s="540" t="s">
        <v>9</v>
      </c>
      <c r="B11" s="431"/>
      <c r="C11" s="431"/>
      <c r="D11" s="541"/>
      <c r="E11" s="541"/>
      <c r="F11" s="542"/>
      <c r="G11" s="543"/>
      <c r="H11" s="544"/>
      <c r="I11" s="545"/>
      <c r="J11" s="544"/>
      <c r="K11" s="259"/>
    </row>
    <row r="12" spans="1:11" ht="16.5" thickBot="1">
      <c r="A12" s="546" t="s">
        <v>10</v>
      </c>
      <c r="B12" s="547" t="s">
        <v>11</v>
      </c>
      <c r="C12" s="548" t="s">
        <v>12</v>
      </c>
      <c r="D12" s="549"/>
      <c r="E12" s="550" t="s">
        <v>13</v>
      </c>
      <c r="F12" s="551" t="s">
        <v>133</v>
      </c>
      <c r="G12" s="552" t="s">
        <v>14</v>
      </c>
      <c r="H12" s="553" t="s">
        <v>15</v>
      </c>
      <c r="I12" s="554" t="s">
        <v>20</v>
      </c>
      <c r="J12" s="555" t="s">
        <v>16</v>
      </c>
      <c r="K12" s="556" t="s">
        <v>17</v>
      </c>
    </row>
    <row r="13" spans="1:11" ht="16.5" thickBot="1">
      <c r="A13" s="675" t="s">
        <v>111</v>
      </c>
      <c r="B13" s="676"/>
      <c r="C13" s="676"/>
      <c r="D13" s="676"/>
      <c r="E13" s="676"/>
      <c r="F13" s="676"/>
      <c r="G13" s="676"/>
      <c r="H13" s="583">
        <v>0.05</v>
      </c>
      <c r="I13" s="538" t="s">
        <v>132</v>
      </c>
      <c r="J13" s="583">
        <v>0.02</v>
      </c>
      <c r="K13" s="539"/>
    </row>
    <row r="14" spans="1:11" ht="34.5" customHeight="1">
      <c r="A14" s="500" t="s">
        <v>155</v>
      </c>
      <c r="B14" s="661" t="s">
        <v>154</v>
      </c>
      <c r="C14" s="501"/>
      <c r="D14" s="502"/>
      <c r="E14" s="633"/>
      <c r="F14" s="614"/>
      <c r="G14" s="521"/>
      <c r="H14" s="522">
        <f t="shared" ref="H14:H20" si="0">G14*($H$13+1)</f>
        <v>0</v>
      </c>
      <c r="I14" s="517">
        <v>5.93</v>
      </c>
      <c r="J14" s="523">
        <f t="shared" ref="J14:J20" si="1">I14*($J$13+1)</f>
        <v>6.0485999999999995</v>
      </c>
      <c r="K14" s="524">
        <f t="shared" ref="K14:K20" si="2">H14*J14</f>
        <v>0</v>
      </c>
    </row>
    <row r="15" spans="1:11" ht="30.75" customHeight="1">
      <c r="A15" s="504" t="s">
        <v>173</v>
      </c>
      <c r="B15" s="662" t="s">
        <v>158</v>
      </c>
      <c r="C15" s="501"/>
      <c r="D15" s="502"/>
      <c r="E15" s="634"/>
      <c r="F15" s="503"/>
      <c r="G15" s="521"/>
      <c r="H15" s="522">
        <f t="shared" si="0"/>
        <v>0</v>
      </c>
      <c r="I15" s="518">
        <v>6.04</v>
      </c>
      <c r="J15" s="523">
        <f t="shared" si="1"/>
        <v>6.1608000000000001</v>
      </c>
      <c r="K15" s="524">
        <f t="shared" si="2"/>
        <v>0</v>
      </c>
    </row>
    <row r="16" spans="1:11" ht="30" customHeight="1">
      <c r="A16" s="629" t="s">
        <v>172</v>
      </c>
      <c r="B16" s="663" t="s">
        <v>171</v>
      </c>
      <c r="C16" s="630"/>
      <c r="D16" s="631"/>
      <c r="E16" s="634"/>
      <c r="F16" s="642"/>
      <c r="G16" s="632"/>
      <c r="H16" s="522">
        <f t="shared" si="0"/>
        <v>0</v>
      </c>
      <c r="I16" s="518"/>
      <c r="J16" s="523">
        <f t="shared" si="1"/>
        <v>0</v>
      </c>
      <c r="K16" s="524">
        <f t="shared" si="2"/>
        <v>0</v>
      </c>
    </row>
    <row r="17" spans="1:11" ht="19.5" customHeight="1">
      <c r="A17" s="645"/>
      <c r="B17" s="612"/>
      <c r="C17" s="506"/>
      <c r="D17" s="502"/>
      <c r="E17" s="507"/>
      <c r="F17" s="508"/>
      <c r="G17" s="613"/>
      <c r="H17" s="522">
        <f t="shared" si="0"/>
        <v>0</v>
      </c>
      <c r="I17" s="652"/>
      <c r="J17" s="523">
        <f t="shared" si="1"/>
        <v>0</v>
      </c>
      <c r="K17" s="524">
        <f t="shared" si="2"/>
        <v>0</v>
      </c>
    </row>
    <row r="18" spans="1:11" ht="21.75" customHeight="1">
      <c r="A18" s="505"/>
      <c r="B18" s="511"/>
      <c r="C18" s="512"/>
      <c r="D18" s="513"/>
      <c r="E18" s="514"/>
      <c r="F18" s="508"/>
      <c r="G18" s="509"/>
      <c r="H18" s="522">
        <f t="shared" si="0"/>
        <v>0</v>
      </c>
      <c r="I18" s="510"/>
      <c r="J18" s="523">
        <f t="shared" si="1"/>
        <v>0</v>
      </c>
      <c r="K18" s="524">
        <f t="shared" si="2"/>
        <v>0</v>
      </c>
    </row>
    <row r="19" spans="1:11" ht="21" customHeight="1">
      <c r="A19" s="505"/>
      <c r="B19" s="515"/>
      <c r="C19" s="512"/>
      <c r="D19" s="513"/>
      <c r="E19" s="516"/>
      <c r="F19" s="508"/>
      <c r="G19" s="509"/>
      <c r="H19" s="522">
        <f t="shared" si="0"/>
        <v>0</v>
      </c>
      <c r="I19" s="510"/>
      <c r="J19" s="523">
        <f t="shared" si="1"/>
        <v>0</v>
      </c>
      <c r="K19" s="524">
        <f t="shared" si="2"/>
        <v>0</v>
      </c>
    </row>
    <row r="20" spans="1:11" ht="21" customHeight="1">
      <c r="A20" s="137"/>
      <c r="B20" s="149"/>
      <c r="C20" s="152"/>
      <c r="D20" s="138"/>
      <c r="E20" s="147"/>
      <c r="F20" s="139"/>
      <c r="G20" s="144"/>
      <c r="H20" s="522">
        <f t="shared" si="0"/>
        <v>0</v>
      </c>
      <c r="I20" s="145"/>
      <c r="J20" s="523">
        <f t="shared" si="1"/>
        <v>0</v>
      </c>
      <c r="K20" s="524">
        <f t="shared" si="2"/>
        <v>0</v>
      </c>
    </row>
    <row r="21" spans="1:11" ht="16.5" thickBot="1">
      <c r="A21" s="677" t="s">
        <v>115</v>
      </c>
      <c r="B21" s="678"/>
      <c r="C21" s="678"/>
      <c r="D21" s="678"/>
      <c r="E21" s="678"/>
      <c r="F21" s="678"/>
      <c r="G21" s="678"/>
      <c r="H21" s="679"/>
      <c r="I21" s="678"/>
      <c r="J21" s="680"/>
      <c r="K21" s="525">
        <f>SUM(K14:K20)</f>
        <v>0</v>
      </c>
    </row>
    <row r="22" spans="1:11" ht="16.5" thickBot="1">
      <c r="A22" s="675" t="s">
        <v>112</v>
      </c>
      <c r="B22" s="676"/>
      <c r="C22" s="676"/>
      <c r="D22" s="676"/>
      <c r="E22" s="676"/>
      <c r="F22" s="676"/>
      <c r="G22" s="676"/>
      <c r="H22" s="583">
        <v>0.05</v>
      </c>
      <c r="I22" s="557"/>
      <c r="J22" s="583">
        <v>0.08</v>
      </c>
      <c r="K22" s="368"/>
    </row>
    <row r="23" spans="1:11" ht="16.5">
      <c r="A23" s="137"/>
      <c r="B23" s="420"/>
      <c r="C23" s="112"/>
      <c r="D23" s="113"/>
      <c r="E23" s="113"/>
      <c r="F23" s="114"/>
      <c r="G23" s="115"/>
      <c r="H23" s="522">
        <f t="shared" ref="H23:H29" si="3">G23*($H$22+1)</f>
        <v>0</v>
      </c>
      <c r="I23" s="526"/>
      <c r="J23" s="523">
        <f t="shared" ref="J23:J29" si="4">I23*($J$22+1)</f>
        <v>0</v>
      </c>
      <c r="K23" s="527">
        <f t="shared" ref="K23:K29" si="5">H23*J23</f>
        <v>0</v>
      </c>
    </row>
    <row r="24" spans="1:11" ht="16.5">
      <c r="A24" s="137"/>
      <c r="B24" s="420"/>
      <c r="C24" s="112"/>
      <c r="D24" s="113"/>
      <c r="E24" s="113"/>
      <c r="F24" s="114"/>
      <c r="G24" s="115"/>
      <c r="H24" s="528">
        <f t="shared" si="3"/>
        <v>0</v>
      </c>
      <c r="I24" s="526"/>
      <c r="J24" s="529">
        <f t="shared" si="4"/>
        <v>0</v>
      </c>
      <c r="K24" s="527">
        <f t="shared" si="5"/>
        <v>0</v>
      </c>
    </row>
    <row r="25" spans="1:11" ht="16.5">
      <c r="A25" s="137"/>
      <c r="B25" s="420"/>
      <c r="C25" s="112"/>
      <c r="D25" s="113"/>
      <c r="E25" s="113"/>
      <c r="F25" s="114"/>
      <c r="G25" s="115"/>
      <c r="H25" s="528">
        <f t="shared" si="3"/>
        <v>0</v>
      </c>
      <c r="I25" s="526"/>
      <c r="J25" s="529">
        <f t="shared" si="4"/>
        <v>0</v>
      </c>
      <c r="K25" s="527">
        <f t="shared" si="5"/>
        <v>0</v>
      </c>
    </row>
    <row r="26" spans="1:11" ht="16.5">
      <c r="A26" s="137"/>
      <c r="B26" s="420"/>
      <c r="C26" s="112"/>
      <c r="D26" s="113"/>
      <c r="E26" s="113"/>
      <c r="F26" s="114"/>
      <c r="G26" s="115"/>
      <c r="H26" s="528">
        <f t="shared" si="3"/>
        <v>0</v>
      </c>
      <c r="I26" s="526"/>
      <c r="J26" s="529">
        <f t="shared" si="4"/>
        <v>0</v>
      </c>
      <c r="K26" s="527">
        <f t="shared" si="5"/>
        <v>0</v>
      </c>
    </row>
    <row r="27" spans="1:11" ht="16.5">
      <c r="A27" s="137"/>
      <c r="B27" s="420"/>
      <c r="C27" s="112"/>
      <c r="D27" s="113"/>
      <c r="E27" s="113"/>
      <c r="F27" s="114"/>
      <c r="G27" s="115"/>
      <c r="H27" s="528">
        <f t="shared" si="3"/>
        <v>0</v>
      </c>
      <c r="I27" s="526"/>
      <c r="J27" s="529">
        <f t="shared" si="4"/>
        <v>0</v>
      </c>
      <c r="K27" s="527">
        <f t="shared" si="5"/>
        <v>0</v>
      </c>
    </row>
    <row r="28" spans="1:11" ht="16.5">
      <c r="A28" s="137"/>
      <c r="B28" s="420"/>
      <c r="C28" s="112"/>
      <c r="D28" s="113"/>
      <c r="E28" s="113"/>
      <c r="F28" s="114"/>
      <c r="G28" s="115"/>
      <c r="H28" s="528">
        <f t="shared" si="3"/>
        <v>0</v>
      </c>
      <c r="I28" s="526"/>
      <c r="J28" s="529">
        <f t="shared" si="4"/>
        <v>0</v>
      </c>
      <c r="K28" s="527">
        <f t="shared" si="5"/>
        <v>0</v>
      </c>
    </row>
    <row r="29" spans="1:11" ht="16.5">
      <c r="A29" s="137"/>
      <c r="B29" s="420"/>
      <c r="C29" s="112"/>
      <c r="D29" s="113"/>
      <c r="E29" s="113"/>
      <c r="F29" s="114"/>
      <c r="G29" s="115"/>
      <c r="H29" s="528">
        <f t="shared" si="3"/>
        <v>0</v>
      </c>
      <c r="I29" s="526"/>
      <c r="J29" s="529">
        <f t="shared" si="4"/>
        <v>0</v>
      </c>
      <c r="K29" s="527">
        <f t="shared" si="5"/>
        <v>0</v>
      </c>
    </row>
    <row r="30" spans="1:11" ht="24.75" customHeight="1" thickBot="1">
      <c r="A30" s="677" t="s">
        <v>116</v>
      </c>
      <c r="B30" s="678"/>
      <c r="C30" s="678"/>
      <c r="D30" s="678"/>
      <c r="E30" s="678"/>
      <c r="F30" s="678"/>
      <c r="G30" s="678"/>
      <c r="H30" s="678"/>
      <c r="I30" s="678"/>
      <c r="J30" s="681"/>
      <c r="K30" s="525">
        <f>SUM(K23:K29)</f>
        <v>0</v>
      </c>
    </row>
    <row r="31" spans="1:11" ht="16.5" thickBot="1">
      <c r="A31" s="421"/>
      <c r="B31" s="422"/>
      <c r="C31" s="321"/>
      <c r="D31" s="27"/>
      <c r="E31" s="27"/>
      <c r="F31" s="28"/>
      <c r="G31" s="29" t="s">
        <v>18</v>
      </c>
      <c r="H31" s="30"/>
      <c r="I31" s="29"/>
      <c r="J31" s="31"/>
      <c r="K31" s="194">
        <f>K21+K30</f>
        <v>0</v>
      </c>
    </row>
    <row r="32" spans="1:11" ht="16.5" thickBot="1">
      <c r="A32" s="243" t="s">
        <v>19</v>
      </c>
      <c r="B32" s="423"/>
      <c r="C32" s="322"/>
      <c r="D32" s="244"/>
      <c r="E32" s="244"/>
      <c r="F32" s="245"/>
      <c r="G32" s="246"/>
      <c r="H32" s="247"/>
      <c r="I32" s="248"/>
      <c r="J32" s="247"/>
      <c r="K32" s="249"/>
    </row>
    <row r="33" spans="1:11" ht="16.5" thickBot="1">
      <c r="A33" s="424" t="s">
        <v>10</v>
      </c>
      <c r="B33" s="453" t="s">
        <v>19</v>
      </c>
      <c r="C33" s="453" t="s">
        <v>12</v>
      </c>
      <c r="D33" s="260"/>
      <c r="E33" s="684" t="s">
        <v>13</v>
      </c>
      <c r="F33" s="685"/>
      <c r="G33" s="261" t="s">
        <v>14</v>
      </c>
      <c r="H33" s="261" t="s">
        <v>15</v>
      </c>
      <c r="I33" s="262" t="s">
        <v>20</v>
      </c>
      <c r="J33" s="262" t="s">
        <v>16</v>
      </c>
      <c r="K33" s="263" t="s">
        <v>17</v>
      </c>
    </row>
    <row r="34" spans="1:11" ht="16.5" thickBot="1">
      <c r="A34" s="675" t="s">
        <v>111</v>
      </c>
      <c r="B34" s="676"/>
      <c r="C34" s="676"/>
      <c r="D34" s="676"/>
      <c r="E34" s="676"/>
      <c r="F34" s="676"/>
      <c r="G34" s="676"/>
      <c r="H34" s="378">
        <v>0.03</v>
      </c>
      <c r="I34" s="367"/>
      <c r="J34" s="378">
        <v>0.02</v>
      </c>
      <c r="K34" s="368"/>
    </row>
    <row r="35" spans="1:11" ht="15.75">
      <c r="A35" s="658" t="s">
        <v>156</v>
      </c>
      <c r="B35" s="659" t="s">
        <v>157</v>
      </c>
      <c r="C35" s="660" t="s">
        <v>158</v>
      </c>
      <c r="D35" s="351"/>
      <c r="E35" s="364"/>
      <c r="F35" s="365"/>
      <c r="G35" s="353"/>
      <c r="H35" s="522">
        <f t="shared" ref="H35:H46" si="6">G35*($H$34+1)</f>
        <v>0</v>
      </c>
      <c r="I35" s="530"/>
      <c r="J35" s="523">
        <f t="shared" ref="J35:J46" si="7">I35*($J$34+1)</f>
        <v>0</v>
      </c>
      <c r="K35" s="524">
        <f t="shared" ref="K35:K46" si="8">H35*J35</f>
        <v>0</v>
      </c>
    </row>
    <row r="36" spans="1:11" ht="15.75">
      <c r="A36" s="658" t="s">
        <v>174</v>
      </c>
      <c r="B36" s="419"/>
      <c r="C36" s="148"/>
      <c r="D36" s="267"/>
      <c r="E36" s="274"/>
      <c r="F36" s="250"/>
      <c r="G36" s="272"/>
      <c r="H36" s="522">
        <f t="shared" si="6"/>
        <v>0</v>
      </c>
      <c r="I36" s="531"/>
      <c r="J36" s="523">
        <f t="shared" si="7"/>
        <v>0</v>
      </c>
      <c r="K36" s="524">
        <f t="shared" si="8"/>
        <v>0</v>
      </c>
    </row>
    <row r="37" spans="1:11" ht="15.75">
      <c r="A37" s="225"/>
      <c r="B37" s="166"/>
      <c r="C37" s="148"/>
      <c r="D37" s="267"/>
      <c r="E37" s="360"/>
      <c r="F37" s="361"/>
      <c r="G37" s="272"/>
      <c r="H37" s="522">
        <f t="shared" si="6"/>
        <v>0</v>
      </c>
      <c r="I37" s="532"/>
      <c r="J37" s="523">
        <f t="shared" si="7"/>
        <v>0</v>
      </c>
      <c r="K37" s="524">
        <f t="shared" si="8"/>
        <v>0</v>
      </c>
    </row>
    <row r="38" spans="1:11" ht="15.75">
      <c r="A38" s="225"/>
      <c r="B38" s="419"/>
      <c r="C38" s="152"/>
      <c r="D38" s="352"/>
      <c r="E38" s="264"/>
      <c r="F38" s="265"/>
      <c r="G38" s="272"/>
      <c r="H38" s="522">
        <f t="shared" si="6"/>
        <v>0</v>
      </c>
      <c r="I38" s="533"/>
      <c r="J38" s="523">
        <f t="shared" si="7"/>
        <v>0</v>
      </c>
      <c r="K38" s="524">
        <f t="shared" si="8"/>
        <v>0</v>
      </c>
    </row>
    <row r="39" spans="1:11" ht="15.75">
      <c r="A39" s="225"/>
      <c r="B39" s="419"/>
      <c r="C39" s="266"/>
      <c r="D39" s="268"/>
      <c r="E39" s="362"/>
      <c r="F39" s="363"/>
      <c r="G39" s="354"/>
      <c r="H39" s="522">
        <f t="shared" si="6"/>
        <v>0</v>
      </c>
      <c r="I39" s="534"/>
      <c r="J39" s="523">
        <f t="shared" si="7"/>
        <v>0</v>
      </c>
      <c r="K39" s="524">
        <f t="shared" si="8"/>
        <v>0</v>
      </c>
    </row>
    <row r="40" spans="1:11" ht="15.75">
      <c r="A40" s="225"/>
      <c r="B40" s="273"/>
      <c r="C40" s="402"/>
      <c r="D40" s="267"/>
      <c r="E40" s="264"/>
      <c r="F40" s="138"/>
      <c r="G40" s="354"/>
      <c r="H40" s="522">
        <f t="shared" si="6"/>
        <v>0</v>
      </c>
      <c r="I40" s="534"/>
      <c r="J40" s="523">
        <f t="shared" si="7"/>
        <v>0</v>
      </c>
      <c r="K40" s="524">
        <f t="shared" si="8"/>
        <v>0</v>
      </c>
    </row>
    <row r="41" spans="1:11" ht="15.75">
      <c r="A41" s="225"/>
      <c r="B41" s="273"/>
      <c r="C41" s="402"/>
      <c r="D41" s="267"/>
      <c r="E41" s="264"/>
      <c r="F41" s="138"/>
      <c r="G41" s="354"/>
      <c r="H41" s="522">
        <f t="shared" si="6"/>
        <v>0</v>
      </c>
      <c r="I41" s="534"/>
      <c r="J41" s="523">
        <f t="shared" si="7"/>
        <v>0</v>
      </c>
      <c r="K41" s="524">
        <f t="shared" si="8"/>
        <v>0</v>
      </c>
    </row>
    <row r="42" spans="1:11" ht="16.5">
      <c r="A42" s="225"/>
      <c r="B42" s="425"/>
      <c r="C42" s="357"/>
      <c r="D42" s="358"/>
      <c r="E42" s="355"/>
      <c r="F42" s="356"/>
      <c r="G42" s="359"/>
      <c r="H42" s="522">
        <f t="shared" si="6"/>
        <v>0</v>
      </c>
      <c r="I42" s="535"/>
      <c r="J42" s="523">
        <f t="shared" si="7"/>
        <v>0</v>
      </c>
      <c r="K42" s="524">
        <f t="shared" si="8"/>
        <v>0</v>
      </c>
    </row>
    <row r="43" spans="1:11" ht="16.5">
      <c r="A43" s="225"/>
      <c r="B43" s="425"/>
      <c r="C43" s="302"/>
      <c r="D43" s="303"/>
      <c r="E43" s="37"/>
      <c r="F43" s="38"/>
      <c r="G43" s="40"/>
      <c r="H43" s="522">
        <f t="shared" si="6"/>
        <v>0</v>
      </c>
      <c r="I43" s="535"/>
      <c r="J43" s="523">
        <f t="shared" si="7"/>
        <v>0</v>
      </c>
      <c r="K43" s="524">
        <f t="shared" si="8"/>
        <v>0</v>
      </c>
    </row>
    <row r="44" spans="1:11" ht="16.5">
      <c r="A44" s="225"/>
      <c r="B44" s="425"/>
      <c r="C44" s="110"/>
      <c r="D44" s="111"/>
      <c r="E44" s="302"/>
      <c r="F44" s="303"/>
      <c r="G44" s="40"/>
      <c r="H44" s="522">
        <f t="shared" si="6"/>
        <v>0</v>
      </c>
      <c r="I44" s="535"/>
      <c r="J44" s="523">
        <f t="shared" si="7"/>
        <v>0</v>
      </c>
      <c r="K44" s="524">
        <f t="shared" si="8"/>
        <v>0</v>
      </c>
    </row>
    <row r="45" spans="1:11" ht="16.5">
      <c r="A45" s="225"/>
      <c r="B45" s="425"/>
      <c r="C45" s="110"/>
      <c r="D45" s="111"/>
      <c r="E45" s="302"/>
      <c r="F45" s="303"/>
      <c r="G45" s="40"/>
      <c r="H45" s="522">
        <f t="shared" si="6"/>
        <v>0</v>
      </c>
      <c r="I45" s="535"/>
      <c r="J45" s="523">
        <f t="shared" si="7"/>
        <v>0</v>
      </c>
      <c r="K45" s="524">
        <f t="shared" si="8"/>
        <v>0</v>
      </c>
    </row>
    <row r="46" spans="1:11" ht="16.5">
      <c r="A46" s="225"/>
      <c r="B46" s="425"/>
      <c r="C46" s="110"/>
      <c r="D46" s="111"/>
      <c r="E46" s="302"/>
      <c r="F46" s="303"/>
      <c r="G46" s="40"/>
      <c r="H46" s="522">
        <f t="shared" si="6"/>
        <v>0</v>
      </c>
      <c r="I46" s="535"/>
      <c r="J46" s="523">
        <f t="shared" si="7"/>
        <v>0</v>
      </c>
      <c r="K46" s="524">
        <f t="shared" si="8"/>
        <v>0</v>
      </c>
    </row>
    <row r="47" spans="1:11" ht="16.5" thickBot="1">
      <c r="A47" s="677" t="s">
        <v>113</v>
      </c>
      <c r="B47" s="678"/>
      <c r="C47" s="678"/>
      <c r="D47" s="678"/>
      <c r="E47" s="678"/>
      <c r="F47" s="678"/>
      <c r="G47" s="678"/>
      <c r="H47" s="679"/>
      <c r="I47" s="678"/>
      <c r="J47" s="680"/>
      <c r="K47" s="232">
        <f>SUM(K35:K46)</f>
        <v>0</v>
      </c>
    </row>
    <row r="48" spans="1:11" ht="16.5" thickBot="1">
      <c r="A48" s="675" t="s">
        <v>112</v>
      </c>
      <c r="B48" s="676"/>
      <c r="C48" s="676"/>
      <c r="D48" s="676"/>
      <c r="E48" s="676"/>
      <c r="F48" s="676"/>
      <c r="G48" s="676"/>
      <c r="H48" s="638">
        <v>0.03</v>
      </c>
      <c r="I48" s="639"/>
      <c r="J48" s="638">
        <v>0.2</v>
      </c>
      <c r="K48" s="368"/>
    </row>
    <row r="49" spans="1:11" ht="16.5">
      <c r="A49" s="640"/>
      <c r="B49" s="641"/>
      <c r="C49" s="110"/>
      <c r="D49" s="111"/>
      <c r="E49" s="655"/>
      <c r="F49" s="303"/>
      <c r="G49" s="653"/>
      <c r="H49" s="522">
        <f t="shared" ref="H49:H59" si="9">G49*($H$48+1)</f>
        <v>0</v>
      </c>
      <c r="I49" s="585"/>
      <c r="J49" s="522">
        <f t="shared" ref="J49:J59" si="10">I49*($J$48+1)</f>
        <v>0</v>
      </c>
      <c r="K49" s="524">
        <f t="shared" ref="K49:K59" si="11">H49*J49</f>
        <v>0</v>
      </c>
    </row>
    <row r="50" spans="1:11" ht="16.5">
      <c r="A50" s="225"/>
      <c r="B50" s="425"/>
      <c r="C50" s="110"/>
      <c r="D50" s="111"/>
      <c r="E50" s="302"/>
      <c r="F50" s="303"/>
      <c r="G50" s="40"/>
      <c r="H50" s="528">
        <f t="shared" si="9"/>
        <v>0</v>
      </c>
      <c r="I50" s="535"/>
      <c r="J50" s="528">
        <f t="shared" si="10"/>
        <v>0</v>
      </c>
      <c r="K50" s="524">
        <f t="shared" si="11"/>
        <v>0</v>
      </c>
    </row>
    <row r="51" spans="1:11" ht="16.5">
      <c r="A51" s="225"/>
      <c r="B51" s="425"/>
      <c r="C51" s="110"/>
      <c r="D51" s="111"/>
      <c r="E51" s="302"/>
      <c r="F51" s="303"/>
      <c r="G51" s="40"/>
      <c r="H51" s="528">
        <f t="shared" si="9"/>
        <v>0</v>
      </c>
      <c r="I51" s="535"/>
      <c r="J51" s="528">
        <f t="shared" si="10"/>
        <v>0</v>
      </c>
      <c r="K51" s="524">
        <f t="shared" si="11"/>
        <v>0</v>
      </c>
    </row>
    <row r="52" spans="1:11" ht="16.5">
      <c r="A52" s="225"/>
      <c r="B52" s="425"/>
      <c r="C52" s="110"/>
      <c r="D52" s="111"/>
      <c r="E52" s="302"/>
      <c r="F52" s="303"/>
      <c r="G52" s="40"/>
      <c r="H52" s="528">
        <f t="shared" si="9"/>
        <v>0</v>
      </c>
      <c r="I52" s="535"/>
      <c r="J52" s="528">
        <f t="shared" si="10"/>
        <v>0</v>
      </c>
      <c r="K52" s="524">
        <f t="shared" si="11"/>
        <v>0</v>
      </c>
    </row>
    <row r="53" spans="1:11" ht="16.5">
      <c r="A53" s="225"/>
      <c r="B53" s="425"/>
      <c r="C53" s="110"/>
      <c r="D53" s="111"/>
      <c r="E53" s="302"/>
      <c r="F53" s="303"/>
      <c r="G53" s="40"/>
      <c r="H53" s="528">
        <f t="shared" si="9"/>
        <v>0</v>
      </c>
      <c r="I53" s="535"/>
      <c r="J53" s="528">
        <f t="shared" si="10"/>
        <v>0</v>
      </c>
      <c r="K53" s="524">
        <f t="shared" si="11"/>
        <v>0</v>
      </c>
    </row>
    <row r="54" spans="1:11" ht="16.5">
      <c r="A54" s="225"/>
      <c r="B54" s="425"/>
      <c r="C54" s="110"/>
      <c r="D54" s="111"/>
      <c r="E54" s="302"/>
      <c r="F54" s="303"/>
      <c r="G54" s="40"/>
      <c r="H54" s="528">
        <f t="shared" si="9"/>
        <v>0</v>
      </c>
      <c r="I54" s="535"/>
      <c r="J54" s="528">
        <f t="shared" si="10"/>
        <v>0</v>
      </c>
      <c r="K54" s="524">
        <f t="shared" si="11"/>
        <v>0</v>
      </c>
    </row>
    <row r="55" spans="1:11" ht="16.5">
      <c r="A55" s="225"/>
      <c r="B55" s="425"/>
      <c r="C55" s="110"/>
      <c r="D55" s="111"/>
      <c r="E55" s="302"/>
      <c r="F55" s="303"/>
      <c r="G55" s="40"/>
      <c r="H55" s="528">
        <f t="shared" si="9"/>
        <v>0</v>
      </c>
      <c r="I55" s="535"/>
      <c r="J55" s="528">
        <f t="shared" si="10"/>
        <v>0</v>
      </c>
      <c r="K55" s="524">
        <f t="shared" si="11"/>
        <v>0</v>
      </c>
    </row>
    <row r="56" spans="1:11" ht="16.5">
      <c r="A56" s="225"/>
      <c r="B56" s="425"/>
      <c r="C56" s="110"/>
      <c r="D56" s="111"/>
      <c r="E56" s="302"/>
      <c r="F56" s="303"/>
      <c r="G56" s="40"/>
      <c r="H56" s="528">
        <f t="shared" si="9"/>
        <v>0</v>
      </c>
      <c r="I56" s="535"/>
      <c r="J56" s="528">
        <f t="shared" si="10"/>
        <v>0</v>
      </c>
      <c r="K56" s="524">
        <f t="shared" si="11"/>
        <v>0</v>
      </c>
    </row>
    <row r="57" spans="1:11" ht="16.5">
      <c r="A57" s="225"/>
      <c r="B57" s="425"/>
      <c r="C57" s="110"/>
      <c r="D57" s="111"/>
      <c r="E57" s="302"/>
      <c r="F57" s="303"/>
      <c r="G57" s="40"/>
      <c r="H57" s="528">
        <f t="shared" si="9"/>
        <v>0</v>
      </c>
      <c r="I57" s="535"/>
      <c r="J57" s="528">
        <f t="shared" si="10"/>
        <v>0</v>
      </c>
      <c r="K57" s="524">
        <f t="shared" si="11"/>
        <v>0</v>
      </c>
    </row>
    <row r="58" spans="1:11" ht="16.5">
      <c r="A58" s="225"/>
      <c r="B58" s="425"/>
      <c r="C58" s="110"/>
      <c r="D58" s="111"/>
      <c r="E58" s="302"/>
      <c r="F58" s="303"/>
      <c r="G58" s="40"/>
      <c r="H58" s="528">
        <f t="shared" si="9"/>
        <v>0</v>
      </c>
      <c r="I58" s="535"/>
      <c r="J58" s="528">
        <f t="shared" si="10"/>
        <v>0</v>
      </c>
      <c r="K58" s="524">
        <f t="shared" si="11"/>
        <v>0</v>
      </c>
    </row>
    <row r="59" spans="1:11" ht="16.5">
      <c r="A59" s="225"/>
      <c r="B59" s="425"/>
      <c r="C59" s="110"/>
      <c r="D59" s="111"/>
      <c r="E59" s="302"/>
      <c r="F59" s="303"/>
      <c r="G59" s="40"/>
      <c r="H59" s="528">
        <f t="shared" si="9"/>
        <v>0</v>
      </c>
      <c r="I59" s="535"/>
      <c r="J59" s="528">
        <f t="shared" si="10"/>
        <v>0</v>
      </c>
      <c r="K59" s="524">
        <f t="shared" si="11"/>
        <v>0</v>
      </c>
    </row>
    <row r="60" spans="1:11" ht="16.5" thickBot="1">
      <c r="A60" s="677" t="s">
        <v>114</v>
      </c>
      <c r="B60" s="678"/>
      <c r="C60" s="678"/>
      <c r="D60" s="678"/>
      <c r="E60" s="678"/>
      <c r="F60" s="678"/>
      <c r="G60" s="678"/>
      <c r="H60" s="678"/>
      <c r="I60" s="678"/>
      <c r="J60" s="681"/>
      <c r="K60" s="232">
        <f>SUM(K49:K59)</f>
        <v>0</v>
      </c>
    </row>
    <row r="61" spans="1:11" ht="16.5" thickBot="1">
      <c r="A61" s="421"/>
      <c r="B61" s="422"/>
      <c r="C61" s="321"/>
      <c r="D61" s="27"/>
      <c r="E61" s="27"/>
      <c r="F61" s="28"/>
      <c r="G61" s="29" t="s">
        <v>21</v>
      </c>
      <c r="H61" s="30"/>
      <c r="I61" s="29"/>
      <c r="J61" s="31"/>
      <c r="K61" s="43">
        <f>K47+K60</f>
        <v>0</v>
      </c>
    </row>
    <row r="62" spans="1:11" ht="15.75" thickBot="1">
      <c r="A62" s="278" t="s">
        <v>22</v>
      </c>
      <c r="B62" s="426"/>
      <c r="C62" s="323"/>
      <c r="D62" s="279"/>
      <c r="E62" s="279"/>
      <c r="F62" s="280"/>
      <c r="G62" s="281"/>
      <c r="H62" s="282"/>
      <c r="I62" s="248"/>
      <c r="J62" s="282"/>
      <c r="K62" s="283"/>
    </row>
    <row r="63" spans="1:11" ht="15.75" thickBot="1">
      <c r="A63" s="427" t="s">
        <v>10</v>
      </c>
      <c r="B63" s="452" t="s">
        <v>23</v>
      </c>
      <c r="C63" s="236" t="s">
        <v>82</v>
      </c>
      <c r="D63" s="277"/>
      <c r="E63" s="682" t="s">
        <v>13</v>
      </c>
      <c r="F63" s="682"/>
      <c r="G63" s="233" t="s">
        <v>83</v>
      </c>
      <c r="H63" s="373" t="s">
        <v>15</v>
      </c>
      <c r="I63" s="234" t="s">
        <v>20</v>
      </c>
      <c r="J63" s="374" t="s">
        <v>16</v>
      </c>
      <c r="K63" s="242" t="s">
        <v>17</v>
      </c>
    </row>
    <row r="64" spans="1:11" ht="16.5" thickBot="1">
      <c r="A64" s="675" t="s">
        <v>111</v>
      </c>
      <c r="B64" s="676"/>
      <c r="C64" s="676"/>
      <c r="D64" s="676"/>
      <c r="E64" s="676"/>
      <c r="F64" s="676"/>
      <c r="G64" s="683"/>
      <c r="H64" s="378">
        <v>0.03</v>
      </c>
      <c r="I64" s="367"/>
      <c r="J64" s="378">
        <v>0.02</v>
      </c>
      <c r="K64" s="368"/>
    </row>
    <row r="65" spans="1:11">
      <c r="A65" s="386"/>
      <c r="B65" s="428"/>
      <c r="C65" s="226"/>
      <c r="D65" s="351"/>
      <c r="E65" s="381"/>
      <c r="F65" s="382"/>
      <c r="G65" s="353"/>
      <c r="H65" s="228">
        <f t="shared" ref="H65:H86" si="12">G65*($H$64+1)</f>
        <v>0</v>
      </c>
      <c r="I65" s="145"/>
      <c r="J65" s="230">
        <f t="shared" ref="J65:J86" si="13">I65*($J$64+1)</f>
        <v>0</v>
      </c>
      <c r="K65" s="142">
        <f t="shared" ref="K65:K86" si="14">H65*J65</f>
        <v>0</v>
      </c>
    </row>
    <row r="66" spans="1:11">
      <c r="A66" s="387"/>
      <c r="B66" s="166"/>
      <c r="C66" s="266"/>
      <c r="D66" s="268"/>
      <c r="E66" s="264"/>
      <c r="F66" s="265"/>
      <c r="G66" s="272"/>
      <c r="H66" s="140">
        <f t="shared" si="12"/>
        <v>0</v>
      </c>
      <c r="I66" s="150"/>
      <c r="J66" s="141">
        <f t="shared" si="13"/>
        <v>0</v>
      </c>
      <c r="K66" s="142">
        <f t="shared" si="14"/>
        <v>0</v>
      </c>
    </row>
    <row r="67" spans="1:11">
      <c r="A67" s="387"/>
      <c r="B67" s="273"/>
      <c r="C67" s="324"/>
      <c r="D67" s="269"/>
      <c r="E67" s="264"/>
      <c r="F67" s="265"/>
      <c r="G67" s="272"/>
      <c r="H67" s="140">
        <f t="shared" si="12"/>
        <v>0</v>
      </c>
      <c r="I67" s="150"/>
      <c r="J67" s="141">
        <f t="shared" si="13"/>
        <v>0</v>
      </c>
      <c r="K67" s="142">
        <f t="shared" si="14"/>
        <v>0</v>
      </c>
    </row>
    <row r="68" spans="1:11">
      <c r="A68" s="387"/>
      <c r="B68" s="419"/>
      <c r="C68" s="226"/>
      <c r="D68" s="270"/>
      <c r="E68" s="274"/>
      <c r="F68" s="250"/>
      <c r="G68" s="272"/>
      <c r="H68" s="140">
        <f t="shared" si="12"/>
        <v>0</v>
      </c>
      <c r="I68" s="153"/>
      <c r="J68" s="141">
        <f t="shared" si="13"/>
        <v>0</v>
      </c>
      <c r="K68" s="142">
        <f t="shared" si="14"/>
        <v>0</v>
      </c>
    </row>
    <row r="69" spans="1:11">
      <c r="A69" s="387"/>
      <c r="B69" s="419"/>
      <c r="C69" s="148"/>
      <c r="D69" s="271"/>
      <c r="E69" s="274"/>
      <c r="F69" s="250"/>
      <c r="G69" s="272"/>
      <c r="H69" s="140">
        <f t="shared" si="12"/>
        <v>0</v>
      </c>
      <c r="I69" s="153"/>
      <c r="J69" s="141">
        <f t="shared" si="13"/>
        <v>0</v>
      </c>
      <c r="K69" s="142">
        <f t="shared" si="14"/>
        <v>0</v>
      </c>
    </row>
    <row r="70" spans="1:11">
      <c r="A70" s="387"/>
      <c r="B70" s="429"/>
      <c r="C70" s="325"/>
      <c r="D70" s="163"/>
      <c r="E70" s="275"/>
      <c r="F70" s="276"/>
      <c r="G70" s="162"/>
      <c r="H70" s="140">
        <f t="shared" si="12"/>
        <v>0</v>
      </c>
      <c r="I70" s="154"/>
      <c r="J70" s="141">
        <f t="shared" si="13"/>
        <v>0</v>
      </c>
      <c r="K70" s="142">
        <f t="shared" si="14"/>
        <v>0</v>
      </c>
    </row>
    <row r="71" spans="1:11" ht="15.75">
      <c r="A71" s="387"/>
      <c r="B71" s="430"/>
      <c r="C71" s="110"/>
      <c r="D71" s="48"/>
      <c r="E71" s="110"/>
      <c r="F71" s="111"/>
      <c r="G71" s="49"/>
      <c r="H71" s="140">
        <f t="shared" si="12"/>
        <v>0</v>
      </c>
      <c r="I71" s="39"/>
      <c r="J71" s="141">
        <f t="shared" si="13"/>
        <v>0</v>
      </c>
      <c r="K71" s="142">
        <f t="shared" si="14"/>
        <v>0</v>
      </c>
    </row>
    <row r="72" spans="1:11" ht="15.75">
      <c r="A72" s="387"/>
      <c r="B72" s="430"/>
      <c r="C72" s="110"/>
      <c r="D72" s="48"/>
      <c r="E72" s="110"/>
      <c r="F72" s="111"/>
      <c r="G72" s="49"/>
      <c r="H72" s="140">
        <f t="shared" si="12"/>
        <v>0</v>
      </c>
      <c r="I72" s="39"/>
      <c r="J72" s="141">
        <f t="shared" si="13"/>
        <v>0</v>
      </c>
      <c r="K72" s="142">
        <f t="shared" si="14"/>
        <v>0</v>
      </c>
    </row>
    <row r="73" spans="1:11" ht="15.75">
      <c r="A73" s="387"/>
      <c r="B73" s="430"/>
      <c r="C73" s="110"/>
      <c r="D73" s="48"/>
      <c r="E73" s="110"/>
      <c r="F73" s="111"/>
      <c r="G73" s="49"/>
      <c r="H73" s="140">
        <f t="shared" si="12"/>
        <v>0</v>
      </c>
      <c r="I73" s="39"/>
      <c r="J73" s="141">
        <f t="shared" si="13"/>
        <v>0</v>
      </c>
      <c r="K73" s="142">
        <f t="shared" si="14"/>
        <v>0</v>
      </c>
    </row>
    <row r="74" spans="1:11" ht="15.75">
      <c r="A74" s="387"/>
      <c r="B74" s="430"/>
      <c r="C74" s="110"/>
      <c r="D74" s="48"/>
      <c r="E74" s="110"/>
      <c r="F74" s="111"/>
      <c r="G74" s="49"/>
      <c r="H74" s="140">
        <f t="shared" si="12"/>
        <v>0</v>
      </c>
      <c r="I74" s="39"/>
      <c r="J74" s="141">
        <f t="shared" si="13"/>
        <v>0</v>
      </c>
      <c r="K74" s="142">
        <f t="shared" si="14"/>
        <v>0</v>
      </c>
    </row>
    <row r="75" spans="1:11" ht="15.75">
      <c r="A75" s="387"/>
      <c r="B75" s="430"/>
      <c r="C75" s="110"/>
      <c r="D75" s="48"/>
      <c r="E75" s="110"/>
      <c r="F75" s="111"/>
      <c r="G75" s="49"/>
      <c r="H75" s="140">
        <f t="shared" si="12"/>
        <v>0</v>
      </c>
      <c r="I75" s="39"/>
      <c r="J75" s="141">
        <f t="shared" si="13"/>
        <v>0</v>
      </c>
      <c r="K75" s="142">
        <f t="shared" si="14"/>
        <v>0</v>
      </c>
    </row>
    <row r="76" spans="1:11" ht="15.75">
      <c r="A76" s="225"/>
      <c r="B76" s="425"/>
      <c r="C76" s="110"/>
      <c r="D76" s="111"/>
      <c r="E76" s="302"/>
      <c r="F76" s="303"/>
      <c r="G76" s="40"/>
      <c r="H76" s="140">
        <f t="shared" si="12"/>
        <v>0</v>
      </c>
      <c r="I76" s="39"/>
      <c r="J76" s="141">
        <f t="shared" si="13"/>
        <v>0</v>
      </c>
      <c r="K76" s="231">
        <f t="shared" si="14"/>
        <v>0</v>
      </c>
    </row>
    <row r="77" spans="1:11" ht="15.75">
      <c r="A77" s="225"/>
      <c r="B77" s="425"/>
      <c r="C77" s="110"/>
      <c r="D77" s="111"/>
      <c r="E77" s="302"/>
      <c r="F77" s="303"/>
      <c r="G77" s="40"/>
      <c r="H77" s="140">
        <f t="shared" si="12"/>
        <v>0</v>
      </c>
      <c r="I77" s="39"/>
      <c r="J77" s="141">
        <f t="shared" si="13"/>
        <v>0</v>
      </c>
      <c r="K77" s="231">
        <f t="shared" si="14"/>
        <v>0</v>
      </c>
    </row>
    <row r="78" spans="1:11" ht="15.75">
      <c r="A78" s="225"/>
      <c r="B78" s="425"/>
      <c r="C78" s="110"/>
      <c r="D78" s="111"/>
      <c r="E78" s="302"/>
      <c r="F78" s="303"/>
      <c r="G78" s="40"/>
      <c r="H78" s="140">
        <f t="shared" si="12"/>
        <v>0</v>
      </c>
      <c r="I78" s="39"/>
      <c r="J78" s="141">
        <f t="shared" si="13"/>
        <v>0</v>
      </c>
      <c r="K78" s="231">
        <f t="shared" si="14"/>
        <v>0</v>
      </c>
    </row>
    <row r="79" spans="1:11" ht="15.75">
      <c r="A79" s="225"/>
      <c r="B79" s="425"/>
      <c r="C79" s="110"/>
      <c r="D79" s="111"/>
      <c r="E79" s="302"/>
      <c r="F79" s="303"/>
      <c r="G79" s="40"/>
      <c r="H79" s="140">
        <f t="shared" si="12"/>
        <v>0</v>
      </c>
      <c r="I79" s="39"/>
      <c r="J79" s="141">
        <f t="shared" si="13"/>
        <v>0</v>
      </c>
      <c r="K79" s="231">
        <f t="shared" si="14"/>
        <v>0</v>
      </c>
    </row>
    <row r="80" spans="1:11" ht="15.75">
      <c r="A80" s="225"/>
      <c r="B80" s="425"/>
      <c r="C80" s="110"/>
      <c r="D80" s="111"/>
      <c r="E80" s="302"/>
      <c r="F80" s="303"/>
      <c r="G80" s="40"/>
      <c r="H80" s="140">
        <f t="shared" si="12"/>
        <v>0</v>
      </c>
      <c r="I80" s="39"/>
      <c r="J80" s="141">
        <f t="shared" si="13"/>
        <v>0</v>
      </c>
      <c r="K80" s="231">
        <f t="shared" si="14"/>
        <v>0</v>
      </c>
    </row>
    <row r="81" spans="1:11" ht="15.75">
      <c r="A81" s="387"/>
      <c r="B81" s="430"/>
      <c r="C81" s="110"/>
      <c r="D81" s="48"/>
      <c r="E81" s="110"/>
      <c r="F81" s="111"/>
      <c r="G81" s="49"/>
      <c r="H81" s="140">
        <f t="shared" si="12"/>
        <v>0</v>
      </c>
      <c r="I81" s="39"/>
      <c r="J81" s="141">
        <f t="shared" si="13"/>
        <v>0</v>
      </c>
      <c r="K81" s="142">
        <f t="shared" si="14"/>
        <v>0</v>
      </c>
    </row>
    <row r="82" spans="1:11" ht="15.75">
      <c r="A82" s="387"/>
      <c r="B82" s="430"/>
      <c r="C82" s="110"/>
      <c r="D82" s="48"/>
      <c r="E82" s="110"/>
      <c r="F82" s="111"/>
      <c r="G82" s="49"/>
      <c r="H82" s="140">
        <f t="shared" si="12"/>
        <v>0</v>
      </c>
      <c r="I82" s="39"/>
      <c r="J82" s="141">
        <f t="shared" si="13"/>
        <v>0</v>
      </c>
      <c r="K82" s="142">
        <f t="shared" si="14"/>
        <v>0</v>
      </c>
    </row>
    <row r="83" spans="1:11" ht="15.75">
      <c r="A83" s="387"/>
      <c r="B83" s="430"/>
      <c r="C83" s="110"/>
      <c r="D83" s="48"/>
      <c r="E83" s="110"/>
      <c r="F83" s="111"/>
      <c r="G83" s="49"/>
      <c r="H83" s="140">
        <f t="shared" si="12"/>
        <v>0</v>
      </c>
      <c r="I83" s="39"/>
      <c r="J83" s="141">
        <f t="shared" si="13"/>
        <v>0</v>
      </c>
      <c r="K83" s="142">
        <f t="shared" si="14"/>
        <v>0</v>
      </c>
    </row>
    <row r="84" spans="1:11" ht="15.75">
      <c r="A84" s="387"/>
      <c r="B84" s="430"/>
      <c r="C84" s="110"/>
      <c r="D84" s="48"/>
      <c r="E84" s="110"/>
      <c r="F84" s="111"/>
      <c r="G84" s="49"/>
      <c r="H84" s="140">
        <f t="shared" si="12"/>
        <v>0</v>
      </c>
      <c r="I84" s="39"/>
      <c r="J84" s="141">
        <f t="shared" si="13"/>
        <v>0</v>
      </c>
      <c r="K84" s="142">
        <f t="shared" si="14"/>
        <v>0</v>
      </c>
    </row>
    <row r="85" spans="1:11" ht="15.75">
      <c r="A85" s="387"/>
      <c r="B85" s="430"/>
      <c r="C85" s="110"/>
      <c r="D85" s="48"/>
      <c r="E85" s="110"/>
      <c r="F85" s="111"/>
      <c r="G85" s="49"/>
      <c r="H85" s="140">
        <f t="shared" si="12"/>
        <v>0</v>
      </c>
      <c r="I85" s="39"/>
      <c r="J85" s="141">
        <f t="shared" si="13"/>
        <v>0</v>
      </c>
      <c r="K85" s="142">
        <f t="shared" si="14"/>
        <v>0</v>
      </c>
    </row>
    <row r="86" spans="1:11" ht="15.75">
      <c r="A86" s="387"/>
      <c r="B86" s="430"/>
      <c r="C86" s="110"/>
      <c r="D86" s="48"/>
      <c r="E86" s="110"/>
      <c r="F86" s="111"/>
      <c r="G86" s="49"/>
      <c r="H86" s="140">
        <f t="shared" si="12"/>
        <v>0</v>
      </c>
      <c r="I86" s="39"/>
      <c r="J86" s="141">
        <f t="shared" si="13"/>
        <v>0</v>
      </c>
      <c r="K86" s="142">
        <f t="shared" si="14"/>
        <v>0</v>
      </c>
    </row>
    <row r="87" spans="1:11" ht="16.5" thickBot="1">
      <c r="A87" s="677" t="s">
        <v>117</v>
      </c>
      <c r="B87" s="678"/>
      <c r="C87" s="678"/>
      <c r="D87" s="678"/>
      <c r="E87" s="678"/>
      <c r="F87" s="678"/>
      <c r="G87" s="678"/>
      <c r="H87" s="679"/>
      <c r="I87" s="678"/>
      <c r="J87" s="680"/>
      <c r="K87" s="232">
        <f>SUM(K64:K86)</f>
        <v>0</v>
      </c>
    </row>
    <row r="88" spans="1:11" ht="16.5" thickBot="1">
      <c r="A88" s="675" t="s">
        <v>112</v>
      </c>
      <c r="B88" s="676"/>
      <c r="C88" s="676"/>
      <c r="D88" s="676"/>
      <c r="E88" s="676"/>
      <c r="F88" s="676"/>
      <c r="G88" s="676"/>
      <c r="H88" s="378">
        <v>0.03</v>
      </c>
      <c r="I88" s="367"/>
      <c r="J88" s="378">
        <v>0.2</v>
      </c>
      <c r="K88" s="368"/>
    </row>
    <row r="89" spans="1:11" ht="17.25">
      <c r="A89" s="455"/>
      <c r="B89" s="597" t="s">
        <v>136</v>
      </c>
      <c r="C89" s="536"/>
      <c r="D89" s="457"/>
      <c r="E89" s="458"/>
      <c r="F89" s="566"/>
      <c r="G89" s="605"/>
      <c r="H89" s="522">
        <f t="shared" ref="H89:H110" si="15">G89*($H$88+1)</f>
        <v>0</v>
      </c>
      <c r="I89" s="610">
        <v>2.5000000000000001E-2</v>
      </c>
      <c r="J89" s="523">
        <f t="shared" ref="J89:J110" si="16">I89*($J$88+1)</f>
        <v>0.03</v>
      </c>
      <c r="K89" s="527">
        <f t="shared" ref="K89:K110" si="17">H89*J89</f>
        <v>0</v>
      </c>
    </row>
    <row r="90" spans="1:11" ht="17.25">
      <c r="A90" s="455"/>
      <c r="B90" s="598" t="s">
        <v>137</v>
      </c>
      <c r="C90" s="483"/>
      <c r="D90" s="460"/>
      <c r="E90" s="461"/>
      <c r="F90" s="567"/>
      <c r="G90" s="606"/>
      <c r="H90" s="528">
        <f t="shared" si="15"/>
        <v>0</v>
      </c>
      <c r="I90" s="611">
        <v>0.02</v>
      </c>
      <c r="J90" s="529">
        <f t="shared" si="16"/>
        <v>2.4E-2</v>
      </c>
      <c r="K90" s="527">
        <f t="shared" si="17"/>
        <v>0</v>
      </c>
    </row>
    <row r="91" spans="1:11" ht="17.25">
      <c r="A91" s="455"/>
      <c r="B91" s="597" t="s">
        <v>138</v>
      </c>
      <c r="C91" s="456"/>
      <c r="D91" s="462"/>
      <c r="E91" s="461"/>
      <c r="F91" s="567"/>
      <c r="G91" s="605"/>
      <c r="H91" s="528">
        <f t="shared" si="15"/>
        <v>0</v>
      </c>
      <c r="I91" s="610">
        <v>0.02</v>
      </c>
      <c r="J91" s="529">
        <f t="shared" si="16"/>
        <v>2.4E-2</v>
      </c>
      <c r="K91" s="527">
        <f t="shared" si="17"/>
        <v>0</v>
      </c>
    </row>
    <row r="92" spans="1:11" ht="17.25">
      <c r="A92" s="455"/>
      <c r="B92" s="599" t="s">
        <v>139</v>
      </c>
      <c r="C92" s="456"/>
      <c r="D92" s="463"/>
      <c r="E92" s="464"/>
      <c r="F92" s="465"/>
      <c r="G92" s="607"/>
      <c r="H92" s="528">
        <f t="shared" si="15"/>
        <v>0</v>
      </c>
      <c r="I92" s="611">
        <v>1.03</v>
      </c>
      <c r="J92" s="529">
        <f t="shared" si="16"/>
        <v>1.236</v>
      </c>
      <c r="K92" s="527">
        <f t="shared" si="17"/>
        <v>0</v>
      </c>
    </row>
    <row r="93" spans="1:11" ht="17.25">
      <c r="A93" s="455"/>
      <c r="B93" s="600" t="s">
        <v>139</v>
      </c>
      <c r="C93" s="456"/>
      <c r="D93" s="463"/>
      <c r="E93" s="456"/>
      <c r="F93" s="465"/>
      <c r="G93" s="608"/>
      <c r="H93" s="528">
        <f t="shared" si="15"/>
        <v>0</v>
      </c>
      <c r="I93" s="610">
        <v>2.93</v>
      </c>
      <c r="J93" s="529">
        <f t="shared" si="16"/>
        <v>3.516</v>
      </c>
      <c r="K93" s="527">
        <f t="shared" si="17"/>
        <v>0</v>
      </c>
    </row>
    <row r="94" spans="1:11" ht="17.25">
      <c r="A94" s="604"/>
      <c r="B94" s="599"/>
      <c r="C94" s="466"/>
      <c r="D94" s="463"/>
      <c r="E94" s="456"/>
      <c r="F94" s="465"/>
      <c r="G94" s="606"/>
      <c r="H94" s="528">
        <f t="shared" si="15"/>
        <v>0</v>
      </c>
      <c r="I94" s="611"/>
      <c r="J94" s="529">
        <f t="shared" si="16"/>
        <v>0</v>
      </c>
      <c r="K94" s="527">
        <f t="shared" si="17"/>
        <v>0</v>
      </c>
    </row>
    <row r="95" spans="1:11" ht="17.25">
      <c r="A95" s="459"/>
      <c r="B95" s="601" t="s">
        <v>140</v>
      </c>
      <c r="C95" s="456"/>
      <c r="D95" s="463"/>
      <c r="E95" s="464"/>
      <c r="F95" s="465"/>
      <c r="G95" s="605"/>
      <c r="H95" s="528">
        <f t="shared" si="15"/>
        <v>0</v>
      </c>
      <c r="I95" s="610">
        <v>0.08</v>
      </c>
      <c r="J95" s="529">
        <f t="shared" si="16"/>
        <v>9.6000000000000002E-2</v>
      </c>
      <c r="K95" s="527">
        <f t="shared" si="17"/>
        <v>0</v>
      </c>
    </row>
    <row r="96" spans="1:11" ht="17.25">
      <c r="A96" s="455"/>
      <c r="B96" s="598" t="s">
        <v>141</v>
      </c>
      <c r="C96" s="456"/>
      <c r="D96" s="463"/>
      <c r="E96" s="456"/>
      <c r="F96" s="537"/>
      <c r="G96" s="606"/>
      <c r="H96" s="528">
        <f t="shared" si="15"/>
        <v>0</v>
      </c>
      <c r="I96" s="611">
        <v>0.01</v>
      </c>
      <c r="J96" s="529">
        <f t="shared" si="16"/>
        <v>1.2E-2</v>
      </c>
      <c r="K96" s="527">
        <f t="shared" si="17"/>
        <v>0</v>
      </c>
    </row>
    <row r="97" spans="1:11" ht="17.25">
      <c r="A97" s="455"/>
      <c r="B97" s="601" t="s">
        <v>142</v>
      </c>
      <c r="C97" s="456"/>
      <c r="D97" s="463"/>
      <c r="E97" s="467"/>
      <c r="F97" s="465"/>
      <c r="G97" s="605"/>
      <c r="H97" s="528">
        <f t="shared" si="15"/>
        <v>0</v>
      </c>
      <c r="I97" s="610">
        <v>5.5E-2</v>
      </c>
      <c r="J97" s="529">
        <f t="shared" si="16"/>
        <v>6.6000000000000003E-2</v>
      </c>
      <c r="K97" s="527">
        <f t="shared" si="17"/>
        <v>0</v>
      </c>
    </row>
    <row r="98" spans="1:11" ht="17.25">
      <c r="A98" s="596"/>
      <c r="B98" s="598" t="s">
        <v>143</v>
      </c>
      <c r="C98" s="456"/>
      <c r="D98" s="463"/>
      <c r="E98" s="467"/>
      <c r="F98" s="465"/>
      <c r="G98" s="606"/>
      <c r="H98" s="528">
        <f t="shared" si="15"/>
        <v>0</v>
      </c>
      <c r="I98" s="611">
        <v>0.09</v>
      </c>
      <c r="J98" s="529">
        <f t="shared" si="16"/>
        <v>0.108</v>
      </c>
      <c r="K98" s="527">
        <f t="shared" si="17"/>
        <v>0</v>
      </c>
    </row>
    <row r="99" spans="1:11" ht="17.25">
      <c r="A99" s="572"/>
      <c r="B99" s="602" t="s">
        <v>144</v>
      </c>
      <c r="C99" s="456"/>
      <c r="D99" s="463"/>
      <c r="E99" s="467"/>
      <c r="F99" s="465"/>
      <c r="G99" s="605"/>
      <c r="H99" s="528">
        <f t="shared" si="15"/>
        <v>0</v>
      </c>
      <c r="I99" s="610">
        <v>1E-3</v>
      </c>
      <c r="J99" s="529">
        <f t="shared" si="16"/>
        <v>1.1999999999999999E-3</v>
      </c>
      <c r="K99" s="527">
        <f t="shared" si="17"/>
        <v>0</v>
      </c>
    </row>
    <row r="100" spans="1:11" ht="17.25">
      <c r="A100" s="589"/>
      <c r="B100" s="603" t="s">
        <v>145</v>
      </c>
      <c r="C100" s="571"/>
      <c r="D100" s="463"/>
      <c r="E100" s="467"/>
      <c r="F100" s="465"/>
      <c r="G100" s="609"/>
      <c r="H100" s="528">
        <f t="shared" si="15"/>
        <v>0</v>
      </c>
      <c r="I100" s="610">
        <v>0.01</v>
      </c>
      <c r="J100" s="529">
        <f t="shared" si="16"/>
        <v>1.2E-2</v>
      </c>
      <c r="K100" s="527">
        <f t="shared" si="17"/>
        <v>0</v>
      </c>
    </row>
    <row r="101" spans="1:11" ht="17.25">
      <c r="A101" s="589"/>
      <c r="B101" s="598" t="s">
        <v>146</v>
      </c>
      <c r="C101" s="571"/>
      <c r="D101" s="465"/>
      <c r="E101" s="468"/>
      <c r="F101" s="469"/>
      <c r="G101" s="606"/>
      <c r="H101" s="528">
        <f t="shared" si="15"/>
        <v>0</v>
      </c>
      <c r="I101" s="611">
        <v>0.01</v>
      </c>
      <c r="J101" s="529">
        <f t="shared" si="16"/>
        <v>1.2E-2</v>
      </c>
      <c r="K101" s="524">
        <f t="shared" si="17"/>
        <v>0</v>
      </c>
    </row>
    <row r="102" spans="1:11" ht="17.25">
      <c r="A102" s="589"/>
      <c r="B102" s="601" t="s">
        <v>147</v>
      </c>
      <c r="C102" s="519"/>
      <c r="D102" s="465"/>
      <c r="E102" s="466"/>
      <c r="F102" s="469"/>
      <c r="G102" s="609"/>
      <c r="H102" s="528">
        <f t="shared" si="15"/>
        <v>0</v>
      </c>
      <c r="I102" s="610">
        <v>0.15</v>
      </c>
      <c r="J102" s="529">
        <f t="shared" si="16"/>
        <v>0.18</v>
      </c>
      <c r="K102" s="524">
        <f t="shared" si="17"/>
        <v>0</v>
      </c>
    </row>
    <row r="103" spans="1:11" ht="17.25">
      <c r="A103" s="591"/>
      <c r="B103" s="601"/>
      <c r="C103" s="519"/>
      <c r="D103" s="465"/>
      <c r="E103" s="466"/>
      <c r="F103" s="469"/>
      <c r="G103" s="609"/>
      <c r="H103" s="528">
        <f t="shared" si="15"/>
        <v>0</v>
      </c>
      <c r="I103" s="610"/>
      <c r="J103" s="529">
        <f t="shared" si="16"/>
        <v>0</v>
      </c>
      <c r="K103" s="524">
        <f t="shared" si="17"/>
        <v>0</v>
      </c>
    </row>
    <row r="104" spans="1:11" ht="17.25">
      <c r="A104" s="589"/>
      <c r="B104" s="598"/>
      <c r="C104" s="519"/>
      <c r="D104" s="465"/>
      <c r="E104" s="466"/>
      <c r="F104" s="469"/>
      <c r="G104" s="606"/>
      <c r="H104" s="528">
        <f t="shared" si="15"/>
        <v>0</v>
      </c>
      <c r="I104" s="611"/>
      <c r="J104" s="529">
        <f t="shared" si="16"/>
        <v>0</v>
      </c>
      <c r="K104" s="524">
        <f t="shared" si="17"/>
        <v>0</v>
      </c>
    </row>
    <row r="105" spans="1:11" ht="16.5">
      <c r="A105" s="592"/>
      <c r="B105" s="519"/>
      <c r="C105" s="519"/>
      <c r="D105" s="465"/>
      <c r="E105" s="466"/>
      <c r="F105" s="469"/>
      <c r="G105" s="587"/>
      <c r="H105" s="528">
        <f t="shared" si="15"/>
        <v>0</v>
      </c>
      <c r="I105" s="585"/>
      <c r="J105" s="529">
        <f t="shared" si="16"/>
        <v>0</v>
      </c>
      <c r="K105" s="524">
        <f t="shared" si="17"/>
        <v>0</v>
      </c>
    </row>
    <row r="106" spans="1:11" ht="16.5">
      <c r="A106" s="589"/>
      <c r="B106" s="590"/>
      <c r="C106" s="570"/>
      <c r="D106" s="489"/>
      <c r="E106" s="635" t="s">
        <v>148</v>
      </c>
      <c r="F106" s="636"/>
      <c r="G106" s="586">
        <v>1</v>
      </c>
      <c r="H106" s="528">
        <f t="shared" si="15"/>
        <v>1.03</v>
      </c>
      <c r="I106" s="585">
        <v>0.68799999999999994</v>
      </c>
      <c r="J106" s="529">
        <f t="shared" si="16"/>
        <v>0.82559999999999989</v>
      </c>
      <c r="K106" s="527">
        <f t="shared" si="17"/>
        <v>0.8503679999999999</v>
      </c>
    </row>
    <row r="107" spans="1:11" ht="16.5">
      <c r="A107" s="589"/>
      <c r="B107" s="590"/>
      <c r="C107" s="570"/>
      <c r="D107" s="489"/>
      <c r="E107" s="568"/>
      <c r="F107" s="569"/>
      <c r="G107" s="587"/>
      <c r="H107" s="528">
        <f t="shared" si="15"/>
        <v>0</v>
      </c>
      <c r="I107" s="585"/>
      <c r="J107" s="529">
        <f t="shared" si="16"/>
        <v>0</v>
      </c>
      <c r="K107" s="527">
        <f t="shared" si="17"/>
        <v>0</v>
      </c>
    </row>
    <row r="108" spans="1:11" ht="16.5">
      <c r="A108" s="589"/>
      <c r="B108" s="590"/>
      <c r="C108" s="593"/>
      <c r="D108" s="48"/>
      <c r="E108" s="110"/>
      <c r="F108" s="111"/>
      <c r="G108" s="586"/>
      <c r="H108" s="528">
        <f t="shared" si="15"/>
        <v>0</v>
      </c>
      <c r="I108" s="585"/>
      <c r="J108" s="529">
        <f t="shared" si="16"/>
        <v>0</v>
      </c>
      <c r="K108" s="527">
        <f t="shared" si="17"/>
        <v>0</v>
      </c>
    </row>
    <row r="109" spans="1:11" ht="16.5">
      <c r="A109" s="594"/>
      <c r="B109" s="595"/>
      <c r="C109" s="593"/>
      <c r="D109" s="48"/>
      <c r="E109" s="110"/>
      <c r="F109" s="111"/>
      <c r="G109" s="588"/>
      <c r="H109" s="528">
        <f t="shared" si="15"/>
        <v>0</v>
      </c>
      <c r="I109" s="584"/>
      <c r="J109" s="529">
        <f t="shared" si="16"/>
        <v>0</v>
      </c>
      <c r="K109" s="527">
        <f t="shared" si="17"/>
        <v>0</v>
      </c>
    </row>
    <row r="110" spans="1:11" ht="16.5">
      <c r="A110" s="594"/>
      <c r="B110" s="595"/>
      <c r="C110" s="593"/>
      <c r="D110" s="48"/>
      <c r="E110" s="110"/>
      <c r="F110" s="111"/>
      <c r="G110" s="588"/>
      <c r="H110" s="528">
        <f t="shared" si="15"/>
        <v>0</v>
      </c>
      <c r="I110" s="520"/>
      <c r="J110" s="529">
        <f t="shared" si="16"/>
        <v>0</v>
      </c>
      <c r="K110" s="527">
        <f t="shared" si="17"/>
        <v>0</v>
      </c>
    </row>
    <row r="111" spans="1:11" ht="16.5" thickBot="1">
      <c r="A111" s="677" t="s">
        <v>118</v>
      </c>
      <c r="B111" s="678"/>
      <c r="C111" s="678"/>
      <c r="D111" s="678"/>
      <c r="E111" s="678"/>
      <c r="F111" s="678"/>
      <c r="G111" s="678"/>
      <c r="H111" s="678"/>
      <c r="I111" s="678"/>
      <c r="J111" s="681"/>
      <c r="K111" s="525">
        <f>SUM(K89:K110)</f>
        <v>0.8503679999999999</v>
      </c>
    </row>
    <row r="112" spans="1:11" ht="16.5" thickBot="1">
      <c r="A112" s="421"/>
      <c r="B112" s="422"/>
      <c r="C112" s="321"/>
      <c r="D112" s="27"/>
      <c r="E112" s="27"/>
      <c r="F112" s="28"/>
      <c r="G112" s="50" t="s">
        <v>24</v>
      </c>
      <c r="H112" s="371"/>
      <c r="I112" s="51"/>
      <c r="J112" s="372"/>
      <c r="K112" s="53">
        <f>K111+K87</f>
        <v>0.8503679999999999</v>
      </c>
    </row>
    <row r="113" spans="1:11" s="289" customFormat="1" ht="16.5" thickBot="1">
      <c r="A113" s="239" t="s">
        <v>25</v>
      </c>
      <c r="B113" s="431"/>
      <c r="C113" s="284"/>
      <c r="D113" s="286"/>
      <c r="E113" s="286"/>
      <c r="F113" s="287"/>
      <c r="G113" s="288"/>
      <c r="H113" s="377">
        <v>0.05</v>
      </c>
      <c r="I113" s="284"/>
      <c r="J113" s="377">
        <v>0.02</v>
      </c>
      <c r="K113" s="285"/>
    </row>
    <row r="114" spans="1:11">
      <c r="A114" s="432" t="s">
        <v>10</v>
      </c>
      <c r="B114" s="300" t="s">
        <v>25</v>
      </c>
      <c r="C114" s="157" t="s">
        <v>82</v>
      </c>
      <c r="D114" s="158"/>
      <c r="E114" s="668" t="s">
        <v>13</v>
      </c>
      <c r="F114" s="668"/>
      <c r="G114" s="159" t="s">
        <v>83</v>
      </c>
      <c r="H114" s="233" t="s">
        <v>15</v>
      </c>
      <c r="I114" s="160" t="s">
        <v>20</v>
      </c>
      <c r="J114" s="234" t="s">
        <v>16</v>
      </c>
      <c r="K114" s="164" t="s">
        <v>17</v>
      </c>
    </row>
    <row r="115" spans="1:11" ht="21" customHeight="1">
      <c r="A115" s="459"/>
      <c r="B115" s="637"/>
      <c r="C115" s="499"/>
      <c r="D115" s="491"/>
      <c r="E115" s="349"/>
      <c r="F115" s="350"/>
      <c r="G115" s="559"/>
      <c r="H115" s="560">
        <f t="shared" ref="H115:H145" si="18">G115*($H$113+1)</f>
        <v>0</v>
      </c>
      <c r="I115" s="654"/>
      <c r="J115" s="561">
        <f t="shared" ref="J115:J145" si="19">I115*($J$113+1)</f>
        <v>0</v>
      </c>
      <c r="K115" s="562">
        <f t="shared" ref="K115:K145" si="20">H115*J115</f>
        <v>0</v>
      </c>
    </row>
    <row r="116" spans="1:11">
      <c r="A116" s="484"/>
      <c r="B116" s="490"/>
      <c r="C116" s="490"/>
      <c r="D116" s="492"/>
      <c r="E116" s="170"/>
      <c r="F116" s="338"/>
      <c r="G116" s="559"/>
      <c r="H116" s="560">
        <f t="shared" si="18"/>
        <v>0</v>
      </c>
      <c r="I116" s="558"/>
      <c r="J116" s="561">
        <f t="shared" si="19"/>
        <v>0</v>
      </c>
      <c r="K116" s="562">
        <f t="shared" si="20"/>
        <v>0</v>
      </c>
    </row>
    <row r="117" spans="1:11">
      <c r="A117" s="484"/>
      <c r="B117" s="493"/>
      <c r="C117" s="494"/>
      <c r="D117" s="492"/>
      <c r="E117" s="170"/>
      <c r="F117" s="338"/>
      <c r="G117" s="559"/>
      <c r="H117" s="560">
        <f t="shared" si="18"/>
        <v>0</v>
      </c>
      <c r="I117" s="563"/>
      <c r="J117" s="561">
        <f t="shared" si="19"/>
        <v>0</v>
      </c>
      <c r="K117" s="562">
        <f t="shared" si="20"/>
        <v>0</v>
      </c>
    </row>
    <row r="118" spans="1:11" ht="16.5">
      <c r="A118" s="495"/>
      <c r="B118" s="496"/>
      <c r="C118" s="497"/>
      <c r="D118" s="498"/>
      <c r="E118" s="306"/>
      <c r="F118" s="307"/>
      <c r="G118" s="564"/>
      <c r="H118" s="560">
        <f t="shared" si="18"/>
        <v>0</v>
      </c>
      <c r="I118" s="565"/>
      <c r="J118" s="561">
        <f t="shared" si="19"/>
        <v>0</v>
      </c>
      <c r="K118" s="562">
        <f t="shared" si="20"/>
        <v>0</v>
      </c>
    </row>
    <row r="119" spans="1:11" ht="17.25" thickBot="1">
      <c r="A119" s="495"/>
      <c r="B119" s="496"/>
      <c r="C119" s="497"/>
      <c r="D119" s="498"/>
      <c r="E119" s="306"/>
      <c r="F119" s="307"/>
      <c r="G119" s="564"/>
      <c r="H119" s="560">
        <f t="shared" si="18"/>
        <v>0</v>
      </c>
      <c r="I119" s="565"/>
      <c r="J119" s="561">
        <f t="shared" si="19"/>
        <v>0</v>
      </c>
      <c r="K119" s="562">
        <f t="shared" si="20"/>
        <v>0</v>
      </c>
    </row>
    <row r="120" spans="1:11" ht="16.5" hidden="1" thickBot="1">
      <c r="A120" s="55"/>
      <c r="B120" s="433"/>
      <c r="C120" s="326"/>
      <c r="D120" s="116"/>
      <c r="E120" s="306"/>
      <c r="F120" s="307"/>
      <c r="G120" s="56"/>
      <c r="H120" s="140">
        <f t="shared" si="18"/>
        <v>0</v>
      </c>
      <c r="I120" s="42"/>
      <c r="J120" s="141">
        <f t="shared" si="19"/>
        <v>0</v>
      </c>
      <c r="K120" s="142">
        <f t="shared" si="20"/>
        <v>0</v>
      </c>
    </row>
    <row r="121" spans="1:11" ht="16.5" hidden="1" thickBot="1">
      <c r="A121" s="55"/>
      <c r="B121" s="433"/>
      <c r="C121" s="326"/>
      <c r="D121" s="116"/>
      <c r="E121" s="306"/>
      <c r="F121" s="307"/>
      <c r="G121" s="56"/>
      <c r="H121" s="140">
        <f t="shared" si="18"/>
        <v>0</v>
      </c>
      <c r="I121" s="42"/>
      <c r="J121" s="141">
        <f t="shared" si="19"/>
        <v>0</v>
      </c>
      <c r="K121" s="142">
        <f t="shared" si="20"/>
        <v>0</v>
      </c>
    </row>
    <row r="122" spans="1:11" ht="16.5" hidden="1" thickBot="1">
      <c r="A122" s="55"/>
      <c r="B122" s="433"/>
      <c r="C122" s="326"/>
      <c r="D122" s="116"/>
      <c r="E122" s="306"/>
      <c r="F122" s="307"/>
      <c r="G122" s="56"/>
      <c r="H122" s="140">
        <f t="shared" si="18"/>
        <v>0</v>
      </c>
      <c r="I122" s="42"/>
      <c r="J122" s="141">
        <f t="shared" si="19"/>
        <v>0</v>
      </c>
      <c r="K122" s="142">
        <f t="shared" si="20"/>
        <v>0</v>
      </c>
    </row>
    <row r="123" spans="1:11" ht="16.5" hidden="1" thickBot="1">
      <c r="A123" s="55"/>
      <c r="B123" s="433"/>
      <c r="C123" s="326"/>
      <c r="D123" s="116"/>
      <c r="E123" s="306"/>
      <c r="F123" s="307"/>
      <c r="G123" s="56"/>
      <c r="H123" s="140">
        <f t="shared" si="18"/>
        <v>0</v>
      </c>
      <c r="I123" s="42"/>
      <c r="J123" s="141">
        <f t="shared" si="19"/>
        <v>0</v>
      </c>
      <c r="K123" s="142">
        <f t="shared" si="20"/>
        <v>0</v>
      </c>
    </row>
    <row r="124" spans="1:11" ht="16.5" hidden="1" thickBot="1">
      <c r="A124" s="55"/>
      <c r="B124" s="433"/>
      <c r="C124" s="326"/>
      <c r="D124" s="116"/>
      <c r="E124" s="306"/>
      <c r="F124" s="307"/>
      <c r="G124" s="56"/>
      <c r="H124" s="140">
        <f t="shared" si="18"/>
        <v>0</v>
      </c>
      <c r="I124" s="42"/>
      <c r="J124" s="141">
        <f t="shared" si="19"/>
        <v>0</v>
      </c>
      <c r="K124" s="142">
        <f t="shared" si="20"/>
        <v>0</v>
      </c>
    </row>
    <row r="125" spans="1:11" ht="16.5" hidden="1" thickBot="1">
      <c r="A125" s="55"/>
      <c r="B125" s="433"/>
      <c r="C125" s="326"/>
      <c r="D125" s="116"/>
      <c r="E125" s="306"/>
      <c r="F125" s="307"/>
      <c r="G125" s="56"/>
      <c r="H125" s="140">
        <f t="shared" si="18"/>
        <v>0</v>
      </c>
      <c r="I125" s="42"/>
      <c r="J125" s="141">
        <f t="shared" si="19"/>
        <v>0</v>
      </c>
      <c r="K125" s="142">
        <f t="shared" si="20"/>
        <v>0</v>
      </c>
    </row>
    <row r="126" spans="1:11" ht="16.5" hidden="1" thickBot="1">
      <c r="A126" s="55"/>
      <c r="B126" s="433"/>
      <c r="C126" s="326"/>
      <c r="D126" s="116"/>
      <c r="E126" s="306"/>
      <c r="F126" s="307"/>
      <c r="G126" s="56"/>
      <c r="H126" s="140">
        <f t="shared" si="18"/>
        <v>0</v>
      </c>
      <c r="I126" s="42"/>
      <c r="J126" s="141">
        <f t="shared" si="19"/>
        <v>0</v>
      </c>
      <c r="K126" s="142">
        <f t="shared" si="20"/>
        <v>0</v>
      </c>
    </row>
    <row r="127" spans="1:11" ht="16.5" hidden="1" thickBot="1">
      <c r="A127" s="55"/>
      <c r="B127" s="433"/>
      <c r="C127" s="326"/>
      <c r="D127" s="116"/>
      <c r="E127" s="306"/>
      <c r="F127" s="307"/>
      <c r="G127" s="56"/>
      <c r="H127" s="140">
        <f t="shared" si="18"/>
        <v>0</v>
      </c>
      <c r="I127" s="42"/>
      <c r="J127" s="141">
        <f t="shared" si="19"/>
        <v>0</v>
      </c>
      <c r="K127" s="142">
        <f t="shared" si="20"/>
        <v>0</v>
      </c>
    </row>
    <row r="128" spans="1:11" ht="16.5" hidden="1" thickBot="1">
      <c r="A128" s="55"/>
      <c r="B128" s="433"/>
      <c r="C128" s="326"/>
      <c r="D128" s="116"/>
      <c r="E128" s="306"/>
      <c r="F128" s="307"/>
      <c r="G128" s="56"/>
      <c r="H128" s="140">
        <f t="shared" si="18"/>
        <v>0</v>
      </c>
      <c r="I128" s="42"/>
      <c r="J128" s="141">
        <f t="shared" si="19"/>
        <v>0</v>
      </c>
      <c r="K128" s="142">
        <f t="shared" si="20"/>
        <v>0</v>
      </c>
    </row>
    <row r="129" spans="1:11" ht="16.5" hidden="1" thickBot="1">
      <c r="A129" s="55"/>
      <c r="B129" s="433"/>
      <c r="C129" s="326"/>
      <c r="D129" s="116"/>
      <c r="E129" s="306"/>
      <c r="F129" s="307"/>
      <c r="G129" s="56"/>
      <c r="H129" s="140">
        <f t="shared" si="18"/>
        <v>0</v>
      </c>
      <c r="I129" s="42"/>
      <c r="J129" s="141">
        <f t="shared" si="19"/>
        <v>0</v>
      </c>
      <c r="K129" s="142">
        <f t="shared" si="20"/>
        <v>0</v>
      </c>
    </row>
    <row r="130" spans="1:11" ht="16.5" hidden="1" thickBot="1">
      <c r="A130" s="55"/>
      <c r="B130" s="433"/>
      <c r="C130" s="326"/>
      <c r="D130" s="116"/>
      <c r="E130" s="306"/>
      <c r="F130" s="307"/>
      <c r="G130" s="56"/>
      <c r="H130" s="140">
        <f t="shared" si="18"/>
        <v>0</v>
      </c>
      <c r="I130" s="42"/>
      <c r="J130" s="141">
        <f t="shared" si="19"/>
        <v>0</v>
      </c>
      <c r="K130" s="142">
        <f t="shared" si="20"/>
        <v>0</v>
      </c>
    </row>
    <row r="131" spans="1:11" ht="16.5" hidden="1" thickBot="1">
      <c r="A131" s="55"/>
      <c r="B131" s="433"/>
      <c r="C131" s="326"/>
      <c r="D131" s="116"/>
      <c r="E131" s="306"/>
      <c r="F131" s="307"/>
      <c r="G131" s="56"/>
      <c r="H131" s="140">
        <f t="shared" si="18"/>
        <v>0</v>
      </c>
      <c r="I131" s="42"/>
      <c r="J131" s="141">
        <f t="shared" si="19"/>
        <v>0</v>
      </c>
      <c r="K131" s="142">
        <f t="shared" si="20"/>
        <v>0</v>
      </c>
    </row>
    <row r="132" spans="1:11" ht="16.5" hidden="1" thickBot="1">
      <c r="A132" s="55"/>
      <c r="B132" s="433"/>
      <c r="C132" s="326"/>
      <c r="D132" s="116"/>
      <c r="E132" s="306"/>
      <c r="F132" s="307"/>
      <c r="G132" s="56"/>
      <c r="H132" s="140">
        <f t="shared" si="18"/>
        <v>0</v>
      </c>
      <c r="I132" s="42"/>
      <c r="J132" s="141">
        <f t="shared" si="19"/>
        <v>0</v>
      </c>
      <c r="K132" s="142">
        <f t="shared" si="20"/>
        <v>0</v>
      </c>
    </row>
    <row r="133" spans="1:11" ht="16.5" hidden="1" thickBot="1">
      <c r="A133" s="55"/>
      <c r="B133" s="433"/>
      <c r="C133" s="326"/>
      <c r="D133" s="116"/>
      <c r="E133" s="306"/>
      <c r="F133" s="307"/>
      <c r="G133" s="56"/>
      <c r="H133" s="140">
        <f t="shared" si="18"/>
        <v>0</v>
      </c>
      <c r="I133" s="42"/>
      <c r="J133" s="141">
        <f t="shared" si="19"/>
        <v>0</v>
      </c>
      <c r="K133" s="142">
        <f t="shared" si="20"/>
        <v>0</v>
      </c>
    </row>
    <row r="134" spans="1:11" ht="16.5" hidden="1" thickBot="1">
      <c r="A134" s="55"/>
      <c r="B134" s="433"/>
      <c r="C134" s="326"/>
      <c r="D134" s="116"/>
      <c r="E134" s="306"/>
      <c r="F134" s="307"/>
      <c r="G134" s="56"/>
      <c r="H134" s="140">
        <f t="shared" si="18"/>
        <v>0</v>
      </c>
      <c r="I134" s="42"/>
      <c r="J134" s="141">
        <f t="shared" si="19"/>
        <v>0</v>
      </c>
      <c r="K134" s="142">
        <f t="shared" si="20"/>
        <v>0</v>
      </c>
    </row>
    <row r="135" spans="1:11" ht="16.5" hidden="1" thickBot="1">
      <c r="A135" s="55"/>
      <c r="B135" s="433"/>
      <c r="C135" s="326"/>
      <c r="D135" s="116"/>
      <c r="E135" s="306"/>
      <c r="F135" s="307"/>
      <c r="G135" s="56"/>
      <c r="H135" s="140">
        <f t="shared" si="18"/>
        <v>0</v>
      </c>
      <c r="I135" s="42"/>
      <c r="J135" s="141">
        <f t="shared" si="19"/>
        <v>0</v>
      </c>
      <c r="K135" s="142">
        <f t="shared" si="20"/>
        <v>0</v>
      </c>
    </row>
    <row r="136" spans="1:11" ht="16.5" hidden="1" thickBot="1">
      <c r="A136" s="55"/>
      <c r="B136" s="433"/>
      <c r="C136" s="326"/>
      <c r="D136" s="116"/>
      <c r="E136" s="306"/>
      <c r="F136" s="307"/>
      <c r="G136" s="56"/>
      <c r="H136" s="140">
        <f t="shared" si="18"/>
        <v>0</v>
      </c>
      <c r="I136" s="42"/>
      <c r="J136" s="141">
        <f t="shared" si="19"/>
        <v>0</v>
      </c>
      <c r="K136" s="142">
        <f t="shared" si="20"/>
        <v>0</v>
      </c>
    </row>
    <row r="137" spans="1:11" ht="16.5" hidden="1" thickBot="1">
      <c r="A137" s="55"/>
      <c r="B137" s="433"/>
      <c r="C137" s="326"/>
      <c r="D137" s="116"/>
      <c r="E137" s="306"/>
      <c r="F137" s="307"/>
      <c r="G137" s="56"/>
      <c r="H137" s="140">
        <f t="shared" si="18"/>
        <v>0</v>
      </c>
      <c r="I137" s="42"/>
      <c r="J137" s="141">
        <f t="shared" si="19"/>
        <v>0</v>
      </c>
      <c r="K137" s="142">
        <f t="shared" si="20"/>
        <v>0</v>
      </c>
    </row>
    <row r="138" spans="1:11" ht="16.5" hidden="1" thickBot="1">
      <c r="A138" s="55"/>
      <c r="B138" s="433"/>
      <c r="C138" s="326"/>
      <c r="D138" s="116"/>
      <c r="E138" s="306"/>
      <c r="F138" s="307"/>
      <c r="G138" s="56"/>
      <c r="H138" s="140">
        <f t="shared" si="18"/>
        <v>0</v>
      </c>
      <c r="I138" s="42"/>
      <c r="J138" s="141">
        <f t="shared" si="19"/>
        <v>0</v>
      </c>
      <c r="K138" s="142">
        <f t="shared" si="20"/>
        <v>0</v>
      </c>
    </row>
    <row r="139" spans="1:11" ht="16.5" hidden="1" thickBot="1">
      <c r="A139" s="55"/>
      <c r="B139" s="433"/>
      <c r="C139" s="326"/>
      <c r="D139" s="116"/>
      <c r="E139" s="306"/>
      <c r="F139" s="307"/>
      <c r="G139" s="56"/>
      <c r="H139" s="140">
        <f t="shared" si="18"/>
        <v>0</v>
      </c>
      <c r="I139" s="42"/>
      <c r="J139" s="141">
        <f t="shared" si="19"/>
        <v>0</v>
      </c>
      <c r="K139" s="142">
        <f t="shared" si="20"/>
        <v>0</v>
      </c>
    </row>
    <row r="140" spans="1:11" ht="16.5" hidden="1" thickBot="1">
      <c r="A140" s="55"/>
      <c r="B140" s="433"/>
      <c r="C140" s="326"/>
      <c r="D140" s="116"/>
      <c r="E140" s="306"/>
      <c r="F140" s="307"/>
      <c r="G140" s="56"/>
      <c r="H140" s="140">
        <f t="shared" si="18"/>
        <v>0</v>
      </c>
      <c r="I140" s="42"/>
      <c r="J140" s="141">
        <f t="shared" si="19"/>
        <v>0</v>
      </c>
      <c r="K140" s="142">
        <f t="shared" si="20"/>
        <v>0</v>
      </c>
    </row>
    <row r="141" spans="1:11" ht="16.5" hidden="1" thickBot="1">
      <c r="A141" s="55"/>
      <c r="B141" s="433"/>
      <c r="C141" s="326"/>
      <c r="D141" s="116"/>
      <c r="E141" s="306"/>
      <c r="F141" s="307"/>
      <c r="G141" s="56"/>
      <c r="H141" s="140">
        <f t="shared" si="18"/>
        <v>0</v>
      </c>
      <c r="I141" s="42"/>
      <c r="J141" s="141">
        <f t="shared" si="19"/>
        <v>0</v>
      </c>
      <c r="K141" s="142">
        <f t="shared" si="20"/>
        <v>0</v>
      </c>
    </row>
    <row r="142" spans="1:11" ht="16.5" hidden="1" thickBot="1">
      <c r="A142" s="55"/>
      <c r="B142" s="433"/>
      <c r="C142" s="326"/>
      <c r="D142" s="116"/>
      <c r="E142" s="306"/>
      <c r="F142" s="307"/>
      <c r="G142" s="56"/>
      <c r="H142" s="140">
        <f t="shared" si="18"/>
        <v>0</v>
      </c>
      <c r="I142" s="42"/>
      <c r="J142" s="141">
        <f t="shared" si="19"/>
        <v>0</v>
      </c>
      <c r="K142" s="142">
        <f t="shared" si="20"/>
        <v>0</v>
      </c>
    </row>
    <row r="143" spans="1:11" ht="16.5" hidden="1" thickBot="1">
      <c r="A143" s="55"/>
      <c r="B143" s="433"/>
      <c r="C143" s="326"/>
      <c r="D143" s="116"/>
      <c r="E143" s="306"/>
      <c r="F143" s="307"/>
      <c r="G143" s="56"/>
      <c r="H143" s="140">
        <f t="shared" si="18"/>
        <v>0</v>
      </c>
      <c r="I143" s="42"/>
      <c r="J143" s="141">
        <f t="shared" si="19"/>
        <v>0</v>
      </c>
      <c r="K143" s="142">
        <f t="shared" si="20"/>
        <v>0</v>
      </c>
    </row>
    <row r="144" spans="1:11" ht="16.5" hidden="1" thickBot="1">
      <c r="A144" s="55"/>
      <c r="B144" s="433"/>
      <c r="C144" s="326"/>
      <c r="D144" s="116"/>
      <c r="E144" s="306"/>
      <c r="F144" s="307"/>
      <c r="G144" s="56"/>
      <c r="H144" s="140">
        <f t="shared" si="18"/>
        <v>0</v>
      </c>
      <c r="I144" s="42"/>
      <c r="J144" s="141">
        <f t="shared" si="19"/>
        <v>0</v>
      </c>
      <c r="K144" s="142">
        <f t="shared" si="20"/>
        <v>0</v>
      </c>
    </row>
    <row r="145" spans="1:11" ht="16.5" hidden="1" thickBot="1">
      <c r="A145" s="55"/>
      <c r="B145" s="433"/>
      <c r="C145" s="306"/>
      <c r="D145" s="57"/>
      <c r="E145" s="672"/>
      <c r="F145" s="673"/>
      <c r="G145" s="56"/>
      <c r="H145" s="140">
        <f t="shared" si="18"/>
        <v>0</v>
      </c>
      <c r="I145" s="42"/>
      <c r="J145" s="141">
        <f t="shared" si="19"/>
        <v>0</v>
      </c>
      <c r="K145" s="142">
        <f t="shared" si="20"/>
        <v>0</v>
      </c>
    </row>
    <row r="146" spans="1:11" ht="16.5" thickBot="1">
      <c r="A146" s="421"/>
      <c r="B146" s="422"/>
      <c r="C146" s="321"/>
      <c r="D146" s="27"/>
      <c r="E146" s="27"/>
      <c r="F146" s="28"/>
      <c r="G146" s="50" t="s">
        <v>26</v>
      </c>
      <c r="H146" s="371"/>
      <c r="I146" s="31"/>
      <c r="J146" s="372"/>
      <c r="K146" s="43">
        <f>SUM(K115:K145)</f>
        <v>0</v>
      </c>
    </row>
    <row r="147" spans="1:11" s="289" customFormat="1" ht="16.5" thickBot="1">
      <c r="A147" s="239" t="s">
        <v>27</v>
      </c>
      <c r="B147" s="431"/>
      <c r="C147" s="284"/>
      <c r="D147" s="286"/>
      <c r="E147" s="286"/>
      <c r="F147" s="287"/>
      <c r="G147" s="288"/>
      <c r="H147" s="377">
        <v>0.05</v>
      </c>
      <c r="I147" s="284"/>
      <c r="J147" s="377">
        <v>0.02</v>
      </c>
      <c r="K147" s="285"/>
    </row>
    <row r="148" spans="1:11">
      <c r="A148" s="432" t="s">
        <v>10</v>
      </c>
      <c r="B148" s="300" t="s">
        <v>27</v>
      </c>
      <c r="C148" s="157" t="s">
        <v>82</v>
      </c>
      <c r="D148" s="158"/>
      <c r="E148" s="668" t="s">
        <v>13</v>
      </c>
      <c r="F148" s="668"/>
      <c r="G148" s="159" t="s">
        <v>83</v>
      </c>
      <c r="H148" s="233" t="s">
        <v>15</v>
      </c>
      <c r="I148" s="160" t="s">
        <v>20</v>
      </c>
      <c r="J148" s="234" t="s">
        <v>16</v>
      </c>
      <c r="K148" s="164" t="s">
        <v>17</v>
      </c>
    </row>
    <row r="149" spans="1:11">
      <c r="A149" s="165"/>
      <c r="B149" s="166"/>
      <c r="C149" s="148"/>
      <c r="D149" s="167"/>
      <c r="E149" s="347"/>
      <c r="F149" s="348"/>
      <c r="G149" s="168"/>
      <c r="H149" s="140">
        <f t="shared" ref="H149:H179" si="21">G149*($H$147+1)</f>
        <v>0</v>
      </c>
      <c r="I149" s="153"/>
      <c r="J149" s="141">
        <f t="shared" ref="J149:J179" si="22">I149*($J$147+1)</f>
        <v>0</v>
      </c>
      <c r="K149" s="142">
        <f t="shared" ref="K149:K179" si="23">H149*J149</f>
        <v>0</v>
      </c>
    </row>
    <row r="150" spans="1:11">
      <c r="A150" s="165"/>
      <c r="B150" s="166"/>
      <c r="C150" s="148"/>
      <c r="D150" s="169"/>
      <c r="E150" s="170"/>
      <c r="F150" s="338"/>
      <c r="G150" s="168"/>
      <c r="H150" s="140">
        <f t="shared" si="21"/>
        <v>0</v>
      </c>
      <c r="I150" s="161"/>
      <c r="J150" s="141">
        <f t="shared" si="22"/>
        <v>0</v>
      </c>
      <c r="K150" s="142">
        <f t="shared" si="23"/>
        <v>0</v>
      </c>
    </row>
    <row r="151" spans="1:11">
      <c r="A151" s="165"/>
      <c r="B151" s="312"/>
      <c r="C151" s="148"/>
      <c r="D151" s="169"/>
      <c r="E151" s="170"/>
      <c r="F151" s="338"/>
      <c r="G151" s="168"/>
      <c r="H151" s="140">
        <f t="shared" si="21"/>
        <v>0</v>
      </c>
      <c r="I151" s="154"/>
      <c r="J151" s="141">
        <f t="shared" si="22"/>
        <v>0</v>
      </c>
      <c r="K151" s="142">
        <f t="shared" si="23"/>
        <v>0</v>
      </c>
    </row>
    <row r="152" spans="1:11" ht="15.75">
      <c r="A152" s="60"/>
      <c r="B152" s="434"/>
      <c r="C152" s="308"/>
      <c r="D152" s="61"/>
      <c r="E152" s="308"/>
      <c r="F152" s="309"/>
      <c r="G152" s="62"/>
      <c r="H152" s="140">
        <f t="shared" si="21"/>
        <v>0</v>
      </c>
      <c r="I152" s="39"/>
      <c r="J152" s="141">
        <f t="shared" si="22"/>
        <v>0</v>
      </c>
      <c r="K152" s="142">
        <f t="shared" si="23"/>
        <v>0</v>
      </c>
    </row>
    <row r="153" spans="1:11" ht="15.75">
      <c r="A153" s="60"/>
      <c r="B153" s="434"/>
      <c r="C153" s="308"/>
      <c r="D153" s="61"/>
      <c r="E153" s="308"/>
      <c r="F153" s="309"/>
      <c r="G153" s="62"/>
      <c r="H153" s="140">
        <f t="shared" si="21"/>
        <v>0</v>
      </c>
      <c r="I153" s="39"/>
      <c r="J153" s="141">
        <f t="shared" si="22"/>
        <v>0</v>
      </c>
      <c r="K153" s="142">
        <f t="shared" si="23"/>
        <v>0</v>
      </c>
    </row>
    <row r="154" spans="1:11" ht="15.75">
      <c r="A154" s="60"/>
      <c r="B154" s="434"/>
      <c r="C154" s="308"/>
      <c r="D154" s="61"/>
      <c r="E154" s="308"/>
      <c r="F154" s="309"/>
      <c r="G154" s="62"/>
      <c r="H154" s="140">
        <f t="shared" si="21"/>
        <v>0</v>
      </c>
      <c r="I154" s="39"/>
      <c r="J154" s="141">
        <f t="shared" si="22"/>
        <v>0</v>
      </c>
      <c r="K154" s="142">
        <f t="shared" si="23"/>
        <v>0</v>
      </c>
    </row>
    <row r="155" spans="1:11" ht="16.5" thickBot="1">
      <c r="A155" s="60"/>
      <c r="B155" s="434"/>
      <c r="C155" s="308"/>
      <c r="D155" s="61"/>
      <c r="E155" s="308"/>
      <c r="F155" s="309"/>
      <c r="G155" s="62"/>
      <c r="H155" s="140">
        <f t="shared" si="21"/>
        <v>0</v>
      </c>
      <c r="I155" s="39"/>
      <c r="J155" s="141">
        <f t="shared" si="22"/>
        <v>0</v>
      </c>
      <c r="K155" s="142">
        <f t="shared" si="23"/>
        <v>0</v>
      </c>
    </row>
    <row r="156" spans="1:11" ht="16.5" hidden="1" thickBot="1">
      <c r="A156" s="60"/>
      <c r="B156" s="434"/>
      <c r="C156" s="308"/>
      <c r="D156" s="61"/>
      <c r="E156" s="308"/>
      <c r="F156" s="309"/>
      <c r="G156" s="62"/>
      <c r="H156" s="140">
        <f t="shared" si="21"/>
        <v>0</v>
      </c>
      <c r="I156" s="39"/>
      <c r="J156" s="141">
        <f t="shared" si="22"/>
        <v>0</v>
      </c>
      <c r="K156" s="142">
        <f t="shared" si="23"/>
        <v>0</v>
      </c>
    </row>
    <row r="157" spans="1:11" ht="16.5" hidden="1" thickBot="1">
      <c r="A157" s="60"/>
      <c r="B157" s="434"/>
      <c r="C157" s="308"/>
      <c r="D157" s="61"/>
      <c r="E157" s="308"/>
      <c r="F157" s="309"/>
      <c r="G157" s="62"/>
      <c r="H157" s="140">
        <f t="shared" si="21"/>
        <v>0</v>
      </c>
      <c r="I157" s="39"/>
      <c r="J157" s="141">
        <f t="shared" si="22"/>
        <v>0</v>
      </c>
      <c r="K157" s="142">
        <f t="shared" si="23"/>
        <v>0</v>
      </c>
    </row>
    <row r="158" spans="1:11" ht="16.5" hidden="1" thickBot="1">
      <c r="A158" s="60"/>
      <c r="B158" s="434"/>
      <c r="C158" s="308"/>
      <c r="D158" s="61"/>
      <c r="E158" s="308"/>
      <c r="F158" s="309"/>
      <c r="G158" s="62"/>
      <c r="H158" s="140">
        <f t="shared" si="21"/>
        <v>0</v>
      </c>
      <c r="I158" s="39"/>
      <c r="J158" s="141">
        <f t="shared" si="22"/>
        <v>0</v>
      </c>
      <c r="K158" s="142">
        <f t="shared" si="23"/>
        <v>0</v>
      </c>
    </row>
    <row r="159" spans="1:11" ht="16.5" hidden="1" thickBot="1">
      <c r="A159" s="60"/>
      <c r="B159" s="434"/>
      <c r="C159" s="308"/>
      <c r="D159" s="61"/>
      <c r="E159" s="308"/>
      <c r="F159" s="309"/>
      <c r="G159" s="62"/>
      <c r="H159" s="140">
        <f t="shared" si="21"/>
        <v>0</v>
      </c>
      <c r="I159" s="39"/>
      <c r="J159" s="141">
        <f t="shared" si="22"/>
        <v>0</v>
      </c>
      <c r="K159" s="142">
        <f t="shared" si="23"/>
        <v>0</v>
      </c>
    </row>
    <row r="160" spans="1:11" ht="16.5" hidden="1" thickBot="1">
      <c r="A160" s="60"/>
      <c r="B160" s="434"/>
      <c r="C160" s="308"/>
      <c r="D160" s="61"/>
      <c r="E160" s="308"/>
      <c r="F160" s="309"/>
      <c r="G160" s="62"/>
      <c r="H160" s="140">
        <f t="shared" si="21"/>
        <v>0</v>
      </c>
      <c r="I160" s="39"/>
      <c r="J160" s="141">
        <f t="shared" si="22"/>
        <v>0</v>
      </c>
      <c r="K160" s="142">
        <f t="shared" si="23"/>
        <v>0</v>
      </c>
    </row>
    <row r="161" spans="1:11" ht="16.5" hidden="1" thickBot="1">
      <c r="A161" s="60"/>
      <c r="B161" s="434"/>
      <c r="C161" s="308"/>
      <c r="D161" s="61"/>
      <c r="E161" s="308"/>
      <c r="F161" s="309"/>
      <c r="G161" s="62"/>
      <c r="H161" s="140">
        <f t="shared" si="21"/>
        <v>0</v>
      </c>
      <c r="I161" s="39"/>
      <c r="J161" s="141">
        <f t="shared" si="22"/>
        <v>0</v>
      </c>
      <c r="K161" s="142">
        <f t="shared" si="23"/>
        <v>0</v>
      </c>
    </row>
    <row r="162" spans="1:11" ht="16.5" hidden="1" thickBot="1">
      <c r="A162" s="60"/>
      <c r="B162" s="434"/>
      <c r="C162" s="308"/>
      <c r="D162" s="61"/>
      <c r="E162" s="308"/>
      <c r="F162" s="309"/>
      <c r="G162" s="62"/>
      <c r="H162" s="140">
        <f t="shared" si="21"/>
        <v>0</v>
      </c>
      <c r="I162" s="39"/>
      <c r="J162" s="141">
        <f t="shared" si="22"/>
        <v>0</v>
      </c>
      <c r="K162" s="142">
        <f t="shared" si="23"/>
        <v>0</v>
      </c>
    </row>
    <row r="163" spans="1:11" ht="16.5" hidden="1" thickBot="1">
      <c r="A163" s="60"/>
      <c r="B163" s="434"/>
      <c r="C163" s="308"/>
      <c r="D163" s="61"/>
      <c r="E163" s="308"/>
      <c r="F163" s="309"/>
      <c r="G163" s="62"/>
      <c r="H163" s="140">
        <f t="shared" si="21"/>
        <v>0</v>
      </c>
      <c r="I163" s="39"/>
      <c r="J163" s="141">
        <f t="shared" si="22"/>
        <v>0</v>
      </c>
      <c r="K163" s="142">
        <f t="shared" si="23"/>
        <v>0</v>
      </c>
    </row>
    <row r="164" spans="1:11" ht="16.5" hidden="1" thickBot="1">
      <c r="A164" s="60"/>
      <c r="B164" s="434"/>
      <c r="C164" s="308"/>
      <c r="D164" s="61"/>
      <c r="E164" s="308"/>
      <c r="F164" s="309"/>
      <c r="G164" s="62"/>
      <c r="H164" s="140">
        <f t="shared" si="21"/>
        <v>0</v>
      </c>
      <c r="I164" s="39"/>
      <c r="J164" s="141">
        <f t="shared" si="22"/>
        <v>0</v>
      </c>
      <c r="K164" s="142">
        <f t="shared" si="23"/>
        <v>0</v>
      </c>
    </row>
    <row r="165" spans="1:11" ht="16.5" hidden="1" thickBot="1">
      <c r="A165" s="60"/>
      <c r="B165" s="434"/>
      <c r="C165" s="308"/>
      <c r="D165" s="61"/>
      <c r="E165" s="308"/>
      <c r="F165" s="309"/>
      <c r="G165" s="62"/>
      <c r="H165" s="140">
        <f t="shared" si="21"/>
        <v>0</v>
      </c>
      <c r="I165" s="39"/>
      <c r="J165" s="141">
        <f t="shared" si="22"/>
        <v>0</v>
      </c>
      <c r="K165" s="142">
        <f t="shared" si="23"/>
        <v>0</v>
      </c>
    </row>
    <row r="166" spans="1:11" ht="16.5" hidden="1" thickBot="1">
      <c r="A166" s="60"/>
      <c r="B166" s="434"/>
      <c r="C166" s="308"/>
      <c r="D166" s="61"/>
      <c r="E166" s="308"/>
      <c r="F166" s="309"/>
      <c r="G166" s="62"/>
      <c r="H166" s="140">
        <f t="shared" si="21"/>
        <v>0</v>
      </c>
      <c r="I166" s="39"/>
      <c r="J166" s="141">
        <f t="shared" si="22"/>
        <v>0</v>
      </c>
      <c r="K166" s="142">
        <f t="shared" si="23"/>
        <v>0</v>
      </c>
    </row>
    <row r="167" spans="1:11" ht="16.5" hidden="1" thickBot="1">
      <c r="A167" s="60"/>
      <c r="B167" s="434"/>
      <c r="C167" s="308"/>
      <c r="D167" s="61"/>
      <c r="E167" s="308"/>
      <c r="F167" s="309"/>
      <c r="G167" s="62"/>
      <c r="H167" s="140">
        <f t="shared" si="21"/>
        <v>0</v>
      </c>
      <c r="I167" s="39"/>
      <c r="J167" s="141">
        <f t="shared" si="22"/>
        <v>0</v>
      </c>
      <c r="K167" s="142">
        <f t="shared" si="23"/>
        <v>0</v>
      </c>
    </row>
    <row r="168" spans="1:11" ht="16.5" hidden="1" thickBot="1">
      <c r="A168" s="60"/>
      <c r="B168" s="434"/>
      <c r="C168" s="308"/>
      <c r="D168" s="61"/>
      <c r="E168" s="308"/>
      <c r="F168" s="309"/>
      <c r="G168" s="62"/>
      <c r="H168" s="140">
        <f t="shared" si="21"/>
        <v>0</v>
      </c>
      <c r="I168" s="39"/>
      <c r="J168" s="141">
        <f t="shared" si="22"/>
        <v>0</v>
      </c>
      <c r="K168" s="142">
        <f t="shared" si="23"/>
        <v>0</v>
      </c>
    </row>
    <row r="169" spans="1:11" ht="16.5" hidden="1" thickBot="1">
      <c r="A169" s="60"/>
      <c r="B169" s="434"/>
      <c r="C169" s="308"/>
      <c r="D169" s="61"/>
      <c r="E169" s="308"/>
      <c r="F169" s="309"/>
      <c r="G169" s="62"/>
      <c r="H169" s="140">
        <f t="shared" si="21"/>
        <v>0</v>
      </c>
      <c r="I169" s="39"/>
      <c r="J169" s="141">
        <f t="shared" si="22"/>
        <v>0</v>
      </c>
      <c r="K169" s="142">
        <f t="shared" si="23"/>
        <v>0</v>
      </c>
    </row>
    <row r="170" spans="1:11" ht="16.5" hidden="1" thickBot="1">
      <c r="A170" s="60"/>
      <c r="B170" s="434"/>
      <c r="C170" s="308"/>
      <c r="D170" s="61"/>
      <c r="E170" s="308"/>
      <c r="F170" s="309"/>
      <c r="G170" s="62"/>
      <c r="H170" s="140">
        <f t="shared" si="21"/>
        <v>0</v>
      </c>
      <c r="I170" s="39"/>
      <c r="J170" s="141">
        <f t="shared" si="22"/>
        <v>0</v>
      </c>
      <c r="K170" s="142">
        <f t="shared" si="23"/>
        <v>0</v>
      </c>
    </row>
    <row r="171" spans="1:11" ht="16.5" hidden="1" thickBot="1">
      <c r="A171" s="60"/>
      <c r="B171" s="434"/>
      <c r="C171" s="308"/>
      <c r="D171" s="61"/>
      <c r="E171" s="308"/>
      <c r="F171" s="309"/>
      <c r="G171" s="62"/>
      <c r="H171" s="140">
        <f t="shared" si="21"/>
        <v>0</v>
      </c>
      <c r="I171" s="39"/>
      <c r="J171" s="141">
        <f t="shared" si="22"/>
        <v>0</v>
      </c>
      <c r="K171" s="142">
        <f t="shared" si="23"/>
        <v>0</v>
      </c>
    </row>
    <row r="172" spans="1:11" ht="16.5" hidden="1" thickBot="1">
      <c r="A172" s="60"/>
      <c r="B172" s="434"/>
      <c r="C172" s="308"/>
      <c r="D172" s="61"/>
      <c r="E172" s="308"/>
      <c r="F172" s="309"/>
      <c r="G172" s="62"/>
      <c r="H172" s="140">
        <f t="shared" si="21"/>
        <v>0</v>
      </c>
      <c r="I172" s="39"/>
      <c r="J172" s="141">
        <f t="shared" si="22"/>
        <v>0</v>
      </c>
      <c r="K172" s="142">
        <f t="shared" si="23"/>
        <v>0</v>
      </c>
    </row>
    <row r="173" spans="1:11" ht="16.5" hidden="1" thickBot="1">
      <c r="A173" s="60"/>
      <c r="B173" s="434"/>
      <c r="C173" s="308"/>
      <c r="D173" s="61"/>
      <c r="E173" s="308"/>
      <c r="F173" s="309"/>
      <c r="G173" s="62"/>
      <c r="H173" s="140">
        <f t="shared" si="21"/>
        <v>0</v>
      </c>
      <c r="I173" s="39"/>
      <c r="J173" s="141">
        <f t="shared" si="22"/>
        <v>0</v>
      </c>
      <c r="K173" s="142">
        <f t="shared" si="23"/>
        <v>0</v>
      </c>
    </row>
    <row r="174" spans="1:11" ht="16.5" hidden="1" thickBot="1">
      <c r="A174" s="60"/>
      <c r="B174" s="434"/>
      <c r="C174" s="308"/>
      <c r="D174" s="61"/>
      <c r="E174" s="308"/>
      <c r="F174" s="309"/>
      <c r="G174" s="62"/>
      <c r="H174" s="140">
        <f t="shared" si="21"/>
        <v>0</v>
      </c>
      <c r="I174" s="39"/>
      <c r="J174" s="141">
        <f t="shared" si="22"/>
        <v>0</v>
      </c>
      <c r="K174" s="142">
        <f t="shared" si="23"/>
        <v>0</v>
      </c>
    </row>
    <row r="175" spans="1:11" ht="16.5" hidden="1" thickBot="1">
      <c r="A175" s="60"/>
      <c r="B175" s="434"/>
      <c r="C175" s="308"/>
      <c r="D175" s="61"/>
      <c r="E175" s="308"/>
      <c r="F175" s="309"/>
      <c r="G175" s="62"/>
      <c r="H175" s="140">
        <f t="shared" si="21"/>
        <v>0</v>
      </c>
      <c r="I175" s="39"/>
      <c r="J175" s="141">
        <f t="shared" si="22"/>
        <v>0</v>
      </c>
      <c r="K175" s="142">
        <f t="shared" si="23"/>
        <v>0</v>
      </c>
    </row>
    <row r="176" spans="1:11" ht="16.5" hidden="1" thickBot="1">
      <c r="A176" s="60"/>
      <c r="B176" s="434"/>
      <c r="C176" s="308"/>
      <c r="D176" s="61"/>
      <c r="E176" s="308"/>
      <c r="F176" s="309"/>
      <c r="G176" s="62"/>
      <c r="H176" s="140">
        <f t="shared" si="21"/>
        <v>0</v>
      </c>
      <c r="I176" s="39"/>
      <c r="J176" s="141">
        <f t="shared" si="22"/>
        <v>0</v>
      </c>
      <c r="K176" s="142">
        <f t="shared" si="23"/>
        <v>0</v>
      </c>
    </row>
    <row r="177" spans="1:11" ht="16.5" hidden="1" thickBot="1">
      <c r="A177" s="60"/>
      <c r="B177" s="434"/>
      <c r="C177" s="308"/>
      <c r="D177" s="61"/>
      <c r="E177" s="308"/>
      <c r="F177" s="309"/>
      <c r="G177" s="62"/>
      <c r="H177" s="140">
        <f t="shared" si="21"/>
        <v>0</v>
      </c>
      <c r="I177" s="39"/>
      <c r="J177" s="141">
        <f t="shared" si="22"/>
        <v>0</v>
      </c>
      <c r="K177" s="142">
        <f t="shared" si="23"/>
        <v>0</v>
      </c>
    </row>
    <row r="178" spans="1:11" ht="16.5" hidden="1" thickBot="1">
      <c r="A178" s="60"/>
      <c r="B178" s="434"/>
      <c r="C178" s="308"/>
      <c r="D178" s="61"/>
      <c r="E178" s="308"/>
      <c r="F178" s="309"/>
      <c r="G178" s="62"/>
      <c r="H178" s="140">
        <f t="shared" si="21"/>
        <v>0</v>
      </c>
      <c r="I178" s="39"/>
      <c r="J178" s="141">
        <f t="shared" si="22"/>
        <v>0</v>
      </c>
      <c r="K178" s="142">
        <f t="shared" si="23"/>
        <v>0</v>
      </c>
    </row>
    <row r="179" spans="1:11" ht="16.5" hidden="1" thickBot="1">
      <c r="A179" s="60"/>
      <c r="B179" s="434"/>
      <c r="C179" s="308"/>
      <c r="D179" s="61"/>
      <c r="E179" s="308"/>
      <c r="F179" s="309"/>
      <c r="G179" s="62"/>
      <c r="H179" s="140">
        <f t="shared" si="21"/>
        <v>0</v>
      </c>
      <c r="I179" s="39"/>
      <c r="J179" s="141">
        <f t="shared" si="22"/>
        <v>0</v>
      </c>
      <c r="K179" s="142">
        <f t="shared" si="23"/>
        <v>0</v>
      </c>
    </row>
    <row r="180" spans="1:11" ht="16.5" thickBot="1">
      <c r="A180" s="421"/>
      <c r="B180" s="422"/>
      <c r="C180" s="321"/>
      <c r="D180" s="27"/>
      <c r="E180" s="27"/>
      <c r="F180" s="28"/>
      <c r="G180" s="50" t="s">
        <v>100</v>
      </c>
      <c r="H180" s="30"/>
      <c r="I180" s="31"/>
      <c r="J180" s="52"/>
      <c r="K180" s="43">
        <f>SUM(K149:K179)</f>
        <v>0</v>
      </c>
    </row>
    <row r="181" spans="1:11" ht="16.5" hidden="1" thickBot="1">
      <c r="A181" s="32" t="s">
        <v>39</v>
      </c>
      <c r="B181" s="435"/>
      <c r="C181" s="35"/>
      <c r="D181" s="33"/>
      <c r="E181" s="33"/>
      <c r="F181" s="58"/>
      <c r="G181" s="59"/>
      <c r="H181" s="34">
        <v>0.03</v>
      </c>
      <c r="I181" s="35"/>
      <c r="J181" s="34">
        <v>0.03</v>
      </c>
      <c r="K181" s="36"/>
    </row>
    <row r="182" spans="1:11" ht="16.5" hidden="1" thickBot="1">
      <c r="A182" s="436" t="s">
        <v>10</v>
      </c>
      <c r="B182" s="305" t="s">
        <v>28</v>
      </c>
      <c r="C182" s="44" t="s">
        <v>12</v>
      </c>
      <c r="D182" s="45"/>
      <c r="E182" s="674" t="s">
        <v>13</v>
      </c>
      <c r="F182" s="674"/>
      <c r="G182" s="46" t="s">
        <v>14</v>
      </c>
      <c r="H182" s="46" t="s">
        <v>15</v>
      </c>
      <c r="I182" s="47" t="s">
        <v>20</v>
      </c>
      <c r="J182" s="47" t="s">
        <v>16</v>
      </c>
      <c r="K182" s="54" t="s">
        <v>17</v>
      </c>
    </row>
    <row r="183" spans="1:11" ht="16.5" hidden="1" thickBot="1">
      <c r="A183" s="437"/>
      <c r="B183" s="438"/>
      <c r="C183" s="327"/>
      <c r="D183" s="103"/>
      <c r="E183" s="103"/>
      <c r="F183" s="104"/>
      <c r="G183" s="105"/>
      <c r="H183" s="106"/>
      <c r="I183" s="107"/>
      <c r="J183" s="108"/>
      <c r="K183" s="109"/>
    </row>
    <row r="184" spans="1:11" ht="16.5" hidden="1" thickBot="1">
      <c r="A184" s="437"/>
      <c r="B184" s="438"/>
      <c r="C184" s="327"/>
      <c r="D184" s="103"/>
      <c r="E184" s="103"/>
      <c r="F184" s="104"/>
      <c r="G184" s="105"/>
      <c r="H184" s="106"/>
      <c r="I184" s="107"/>
      <c r="J184" s="108"/>
      <c r="K184" s="109"/>
    </row>
    <row r="185" spans="1:11" ht="16.5" hidden="1" thickBot="1">
      <c r="A185" s="437"/>
      <c r="B185" s="438"/>
      <c r="C185" s="327"/>
      <c r="D185" s="103"/>
      <c r="E185" s="103"/>
      <c r="F185" s="104"/>
      <c r="G185" s="105"/>
      <c r="H185" s="106"/>
      <c r="I185" s="107"/>
      <c r="J185" s="108"/>
      <c r="K185" s="109"/>
    </row>
    <row r="186" spans="1:11" ht="16.5" hidden="1" thickBot="1">
      <c r="A186" s="437"/>
      <c r="B186" s="438"/>
      <c r="C186" s="327"/>
      <c r="D186" s="103"/>
      <c r="E186" s="103"/>
      <c r="F186" s="104"/>
      <c r="G186" s="105"/>
      <c r="H186" s="106"/>
      <c r="I186" s="107"/>
      <c r="J186" s="108"/>
      <c r="K186" s="109"/>
    </row>
    <row r="187" spans="1:11" ht="16.5" hidden="1" thickBot="1">
      <c r="A187" s="437"/>
      <c r="B187" s="438"/>
      <c r="C187" s="327"/>
      <c r="D187" s="103"/>
      <c r="E187" s="103"/>
      <c r="F187" s="104"/>
      <c r="G187" s="105"/>
      <c r="H187" s="106"/>
      <c r="I187" s="107"/>
      <c r="J187" s="108"/>
      <c r="K187" s="109"/>
    </row>
    <row r="188" spans="1:11" ht="16.5" hidden="1" thickBot="1">
      <c r="A188" s="437"/>
      <c r="B188" s="438"/>
      <c r="C188" s="327"/>
      <c r="D188" s="103"/>
      <c r="E188" s="103"/>
      <c r="F188" s="104"/>
      <c r="G188" s="105"/>
      <c r="H188" s="106"/>
      <c r="I188" s="107"/>
      <c r="J188" s="108"/>
      <c r="K188" s="109"/>
    </row>
    <row r="189" spans="1:11" ht="16.5" hidden="1" thickBot="1">
      <c r="A189" s="437"/>
      <c r="B189" s="438"/>
      <c r="C189" s="327"/>
      <c r="D189" s="103"/>
      <c r="E189" s="103"/>
      <c r="F189" s="104"/>
      <c r="G189" s="105"/>
      <c r="H189" s="106"/>
      <c r="I189" s="107"/>
      <c r="J189" s="108"/>
      <c r="K189" s="109"/>
    </row>
    <row r="190" spans="1:11" ht="16.5" hidden="1" thickBot="1">
      <c r="A190" s="437"/>
      <c r="B190" s="438"/>
      <c r="C190" s="327"/>
      <c r="D190" s="103"/>
      <c r="E190" s="103"/>
      <c r="F190" s="104"/>
      <c r="G190" s="105"/>
      <c r="H190" s="106"/>
      <c r="I190" s="107"/>
      <c r="J190" s="108"/>
      <c r="K190" s="109"/>
    </row>
    <row r="191" spans="1:11" ht="16.5" hidden="1" thickBot="1">
      <c r="A191" s="437"/>
      <c r="B191" s="438"/>
      <c r="C191" s="327"/>
      <c r="D191" s="103"/>
      <c r="E191" s="103"/>
      <c r="F191" s="104"/>
      <c r="G191" s="105"/>
      <c r="H191" s="106"/>
      <c r="I191" s="107"/>
      <c r="J191" s="108"/>
      <c r="K191" s="109"/>
    </row>
    <row r="192" spans="1:11" ht="16.5" hidden="1" thickBot="1">
      <c r="A192" s="437"/>
      <c r="B192" s="438"/>
      <c r="C192" s="327"/>
      <c r="D192" s="103"/>
      <c r="E192" s="103"/>
      <c r="F192" s="104"/>
      <c r="G192" s="105"/>
      <c r="H192" s="106"/>
      <c r="I192" s="107"/>
      <c r="J192" s="108"/>
      <c r="K192" s="109"/>
    </row>
    <row r="193" spans="1:11" ht="16.5" hidden="1" thickBot="1">
      <c r="A193" s="437"/>
      <c r="B193" s="438"/>
      <c r="C193" s="327"/>
      <c r="D193" s="103"/>
      <c r="E193" s="103"/>
      <c r="F193" s="104"/>
      <c r="G193" s="105"/>
      <c r="H193" s="106"/>
      <c r="I193" s="107"/>
      <c r="J193" s="108"/>
      <c r="K193" s="109"/>
    </row>
    <row r="194" spans="1:11" ht="16.5" hidden="1" thickBot="1">
      <c r="A194" s="437"/>
      <c r="B194" s="438"/>
      <c r="C194" s="327"/>
      <c r="D194" s="103"/>
      <c r="E194" s="103"/>
      <c r="F194" s="104"/>
      <c r="G194" s="105"/>
      <c r="H194" s="106"/>
      <c r="I194" s="107"/>
      <c r="J194" s="108"/>
      <c r="K194" s="109"/>
    </row>
    <row r="195" spans="1:11" ht="16.5" hidden="1" thickBot="1">
      <c r="A195" s="437"/>
      <c r="B195" s="438"/>
      <c r="C195" s="327"/>
      <c r="D195" s="103"/>
      <c r="E195" s="103"/>
      <c r="F195" s="104"/>
      <c r="G195" s="105"/>
      <c r="H195" s="106"/>
      <c r="I195" s="107"/>
      <c r="J195" s="108"/>
      <c r="K195" s="109"/>
    </row>
    <row r="196" spans="1:11" ht="16.5" hidden="1" thickBot="1">
      <c r="A196" s="437"/>
      <c r="B196" s="438"/>
      <c r="C196" s="327"/>
      <c r="D196" s="103"/>
      <c r="E196" s="103"/>
      <c r="F196" s="104"/>
      <c r="G196" s="105"/>
      <c r="H196" s="106"/>
      <c r="I196" s="107"/>
      <c r="J196" s="108"/>
      <c r="K196" s="109"/>
    </row>
    <row r="197" spans="1:11" ht="16.5" hidden="1" thickBot="1">
      <c r="A197" s="439"/>
      <c r="B197" s="440"/>
      <c r="C197" s="328"/>
      <c r="D197" s="171"/>
      <c r="E197" s="171"/>
      <c r="F197" s="172"/>
      <c r="G197" s="173" t="s">
        <v>84</v>
      </c>
      <c r="H197" s="369"/>
      <c r="I197" s="174"/>
      <c r="J197" s="370"/>
      <c r="K197" s="388">
        <v>0</v>
      </c>
    </row>
    <row r="198" spans="1:11" s="289" customFormat="1" ht="16.5" thickBot="1">
      <c r="A198" s="239" t="s">
        <v>29</v>
      </c>
      <c r="B198" s="431"/>
      <c r="C198" s="284"/>
      <c r="D198" s="286"/>
      <c r="E198" s="286"/>
      <c r="F198" s="287"/>
      <c r="G198" s="288"/>
      <c r="H198" s="377">
        <v>0.05</v>
      </c>
      <c r="I198" s="284"/>
      <c r="J198" s="377">
        <v>0.02</v>
      </c>
      <c r="K198" s="285"/>
    </row>
    <row r="199" spans="1:11">
      <c r="A199" s="666" t="s">
        <v>29</v>
      </c>
      <c r="B199" s="667"/>
      <c r="C199" s="157" t="s">
        <v>82</v>
      </c>
      <c r="D199" s="158"/>
      <c r="E199" s="668" t="s">
        <v>13</v>
      </c>
      <c r="F199" s="668"/>
      <c r="G199" s="175" t="s">
        <v>14</v>
      </c>
      <c r="H199" s="375" t="s">
        <v>15</v>
      </c>
      <c r="I199" s="176" t="s">
        <v>20</v>
      </c>
      <c r="J199" s="376" t="s">
        <v>16</v>
      </c>
      <c r="K199" s="177" t="s">
        <v>17</v>
      </c>
    </row>
    <row r="200" spans="1:11">
      <c r="A200" s="178"/>
      <c r="B200" s="470" t="s">
        <v>129</v>
      </c>
      <c r="C200" s="471"/>
      <c r="D200" s="472"/>
      <c r="E200" s="473"/>
      <c r="F200" s="474"/>
      <c r="G200" s="475">
        <v>1</v>
      </c>
      <c r="H200" s="140">
        <f t="shared" ref="H200:H210" si="24">G200*($H$198+1)</f>
        <v>1.05</v>
      </c>
      <c r="I200" s="482">
        <v>0.1</v>
      </c>
      <c r="J200" s="313">
        <f t="shared" ref="J200:J210" si="25">I200*($J$198+1)</f>
        <v>0.10200000000000001</v>
      </c>
      <c r="K200" s="142">
        <f t="shared" ref="K200:K210" si="26">H200*J200</f>
        <v>0.10710000000000001</v>
      </c>
    </row>
    <row r="201" spans="1:11">
      <c r="A201" s="178"/>
      <c r="B201" s="470" t="s">
        <v>130</v>
      </c>
      <c r="C201" s="476"/>
      <c r="D201" s="477"/>
      <c r="E201" s="478"/>
      <c r="F201" s="479"/>
      <c r="G201" s="480">
        <v>1</v>
      </c>
      <c r="H201" s="140">
        <f t="shared" si="24"/>
        <v>1.05</v>
      </c>
      <c r="I201" s="482">
        <v>0.05</v>
      </c>
      <c r="J201" s="313">
        <f t="shared" si="25"/>
        <v>5.1000000000000004E-2</v>
      </c>
      <c r="K201" s="142">
        <f t="shared" si="26"/>
        <v>5.3550000000000007E-2</v>
      </c>
    </row>
    <row r="202" spans="1:11">
      <c r="A202" s="178"/>
      <c r="B202" s="470" t="s">
        <v>131</v>
      </c>
      <c r="C202" s="476"/>
      <c r="D202" s="477"/>
      <c r="E202" s="478"/>
      <c r="F202" s="481"/>
      <c r="G202" s="475">
        <v>1</v>
      </c>
      <c r="H202" s="140">
        <f t="shared" si="24"/>
        <v>1.05</v>
      </c>
      <c r="I202" s="482">
        <v>0.05</v>
      </c>
      <c r="J202" s="313">
        <f t="shared" si="25"/>
        <v>5.1000000000000004E-2</v>
      </c>
      <c r="K202" s="142">
        <f t="shared" si="26"/>
        <v>5.3550000000000007E-2</v>
      </c>
    </row>
    <row r="203" spans="1:11">
      <c r="A203" s="178"/>
      <c r="B203" s="441"/>
      <c r="C203" s="329"/>
      <c r="D203" s="180"/>
      <c r="E203" s="179"/>
      <c r="F203" s="340"/>
      <c r="G203" s="182"/>
      <c r="H203" s="140">
        <f t="shared" si="24"/>
        <v>0</v>
      </c>
      <c r="I203" s="154"/>
      <c r="J203" s="313">
        <f t="shared" si="25"/>
        <v>0</v>
      </c>
      <c r="K203" s="142">
        <f t="shared" si="26"/>
        <v>0</v>
      </c>
    </row>
    <row r="204" spans="1:11">
      <c r="A204" s="183"/>
      <c r="B204" s="442"/>
      <c r="C204" s="329"/>
      <c r="D204" s="340"/>
      <c r="E204" s="342"/>
      <c r="F204" s="343"/>
      <c r="G204" s="184"/>
      <c r="H204" s="140">
        <f t="shared" si="24"/>
        <v>0</v>
      </c>
      <c r="I204" s="154"/>
      <c r="J204" s="313">
        <f t="shared" si="25"/>
        <v>0</v>
      </c>
      <c r="K204" s="142">
        <f t="shared" si="26"/>
        <v>0</v>
      </c>
    </row>
    <row r="205" spans="1:11" ht="15.75">
      <c r="A205" s="41"/>
      <c r="B205" s="434"/>
      <c r="C205" s="403"/>
      <c r="D205" s="366"/>
      <c r="E205" s="310"/>
      <c r="F205" s="311"/>
      <c r="G205" s="62"/>
      <c r="H205" s="140">
        <f t="shared" si="24"/>
        <v>0</v>
      </c>
      <c r="I205" s="39"/>
      <c r="J205" s="313">
        <f t="shared" si="25"/>
        <v>0</v>
      </c>
      <c r="K205" s="142">
        <f t="shared" si="26"/>
        <v>0</v>
      </c>
    </row>
    <row r="206" spans="1:11" ht="15.75">
      <c r="A206" s="41"/>
      <c r="B206" s="434"/>
      <c r="C206" s="308"/>
      <c r="D206" s="63"/>
      <c r="E206" s="310"/>
      <c r="F206" s="311"/>
      <c r="G206" s="62"/>
      <c r="H206" s="140">
        <f t="shared" si="24"/>
        <v>0</v>
      </c>
      <c r="I206" s="39"/>
      <c r="J206" s="313">
        <f t="shared" si="25"/>
        <v>0</v>
      </c>
      <c r="K206" s="142">
        <f t="shared" si="26"/>
        <v>0</v>
      </c>
    </row>
    <row r="207" spans="1:11" ht="15.75">
      <c r="A207" s="41"/>
      <c r="B207" s="434"/>
      <c r="C207" s="308"/>
      <c r="D207" s="63"/>
      <c r="E207" s="310"/>
      <c r="F207" s="311"/>
      <c r="G207" s="62"/>
      <c r="H207" s="140">
        <f t="shared" si="24"/>
        <v>0</v>
      </c>
      <c r="I207" s="39"/>
      <c r="J207" s="313">
        <f t="shared" si="25"/>
        <v>0</v>
      </c>
      <c r="K207" s="142">
        <f t="shared" si="26"/>
        <v>0</v>
      </c>
    </row>
    <row r="208" spans="1:11" ht="15.75">
      <c r="A208" s="41"/>
      <c r="B208" s="434"/>
      <c r="C208" s="308"/>
      <c r="D208" s="63"/>
      <c r="E208" s="310"/>
      <c r="F208" s="311"/>
      <c r="G208" s="62"/>
      <c r="H208" s="140">
        <f t="shared" si="24"/>
        <v>0</v>
      </c>
      <c r="I208" s="39"/>
      <c r="J208" s="313">
        <f t="shared" si="25"/>
        <v>0</v>
      </c>
      <c r="K208" s="142">
        <f t="shared" si="26"/>
        <v>0</v>
      </c>
    </row>
    <row r="209" spans="1:12" ht="15.75">
      <c r="A209" s="41"/>
      <c r="B209" s="433"/>
      <c r="C209" s="330"/>
      <c r="D209" s="65"/>
      <c r="E209" s="64"/>
      <c r="F209" s="344"/>
      <c r="G209" s="56"/>
      <c r="H209" s="140">
        <f t="shared" si="24"/>
        <v>0</v>
      </c>
      <c r="I209" s="42"/>
      <c r="J209" s="313">
        <f t="shared" si="25"/>
        <v>0</v>
      </c>
      <c r="K209" s="142">
        <f t="shared" si="26"/>
        <v>0</v>
      </c>
    </row>
    <row r="210" spans="1:12" ht="16.5" thickBot="1">
      <c r="A210" s="66"/>
      <c r="B210" s="443"/>
      <c r="C210" s="331"/>
      <c r="D210" s="67"/>
      <c r="E210" s="345"/>
      <c r="F210" s="346"/>
      <c r="G210" s="68"/>
      <c r="H210" s="140">
        <f t="shared" si="24"/>
        <v>0</v>
      </c>
      <c r="I210" s="42"/>
      <c r="J210" s="313">
        <f t="shared" si="25"/>
        <v>0</v>
      </c>
      <c r="K210" s="142">
        <f t="shared" si="26"/>
        <v>0</v>
      </c>
    </row>
    <row r="211" spans="1:12" ht="15.75">
      <c r="A211" s="444"/>
      <c r="B211" s="332"/>
      <c r="C211" s="332"/>
      <c r="D211" s="290"/>
      <c r="E211" s="290"/>
      <c r="F211" s="291"/>
      <c r="G211" s="292" t="s">
        <v>30</v>
      </c>
      <c r="H211" s="293"/>
      <c r="I211" s="294"/>
      <c r="J211" s="294"/>
      <c r="K211" s="295">
        <f>SUM(K200:K210)</f>
        <v>0.21420000000000003</v>
      </c>
    </row>
    <row r="212" spans="1:12" ht="16.5" thickBot="1">
      <c r="A212" s="669"/>
      <c r="B212" s="670"/>
      <c r="C212" s="670"/>
      <c r="D212" s="670"/>
      <c r="E212" s="670"/>
      <c r="F212" s="670"/>
      <c r="G212" s="670"/>
      <c r="H212" s="670"/>
      <c r="I212" s="670"/>
      <c r="J212" s="670"/>
      <c r="K212" s="671"/>
    </row>
    <row r="213" spans="1:12" ht="16.5" thickBot="1">
      <c r="A213" s="445"/>
      <c r="B213" s="404"/>
      <c r="C213" s="404"/>
      <c r="D213" s="389"/>
      <c r="E213" s="390"/>
      <c r="F213" s="391"/>
      <c r="G213" s="615" t="s">
        <v>31</v>
      </c>
      <c r="H213" s="186"/>
      <c r="I213" s="616"/>
      <c r="J213" s="616"/>
      <c r="K213" s="617">
        <f>G9*I9</f>
        <v>1.5377999999999998</v>
      </c>
      <c r="L213" s="126" t="s">
        <v>101</v>
      </c>
    </row>
    <row r="214" spans="1:12" ht="16.5" thickBot="1">
      <c r="A214" s="446"/>
      <c r="B214" s="405"/>
      <c r="C214" s="405"/>
      <c r="D214" s="390"/>
      <c r="E214" s="390"/>
      <c r="F214" s="391"/>
      <c r="G214" s="618"/>
      <c r="H214" s="619"/>
      <c r="I214" s="620" t="s">
        <v>32</v>
      </c>
      <c r="J214" s="621"/>
      <c r="K214" s="622"/>
    </row>
    <row r="215" spans="1:12" ht="16.5" thickBot="1">
      <c r="A215" s="447"/>
      <c r="B215" s="406"/>
      <c r="C215" s="406"/>
      <c r="D215" s="392"/>
      <c r="E215" s="393" t="s">
        <v>34</v>
      </c>
      <c r="F215" s="394"/>
      <c r="G215" s="76" t="s">
        <v>35</v>
      </c>
      <c r="H215" s="77"/>
      <c r="I215" s="78"/>
      <c r="J215" s="79"/>
      <c r="K215" s="80">
        <f>K31+K61+K112+K213+K146+K211+K180</f>
        <v>2.6023679999999998</v>
      </c>
    </row>
    <row r="216" spans="1:12" s="215" customFormat="1" ht="16.5" thickBot="1">
      <c r="A216" s="447"/>
      <c r="B216" s="406"/>
      <c r="C216" s="406"/>
      <c r="D216" s="392"/>
      <c r="E216" s="393"/>
      <c r="F216" s="394"/>
      <c r="G216" s="216"/>
      <c r="H216" s="217"/>
      <c r="I216" s="212"/>
      <c r="J216" s="218"/>
      <c r="K216" s="214"/>
    </row>
    <row r="217" spans="1:12" ht="16.5" thickBot="1">
      <c r="A217" s="446"/>
      <c r="B217" s="405"/>
      <c r="C217" s="405"/>
      <c r="D217" s="390"/>
      <c r="E217" s="390"/>
      <c r="F217" s="391"/>
      <c r="G217" s="615" t="s">
        <v>33</v>
      </c>
      <c r="H217" s="186"/>
      <c r="I217" s="623"/>
      <c r="J217" s="624">
        <v>0.05</v>
      </c>
      <c r="K217" s="617">
        <f>J217*K215</f>
        <v>0.1301184</v>
      </c>
      <c r="L217" s="126" t="s">
        <v>102</v>
      </c>
    </row>
    <row r="218" spans="1:12" ht="16.5" thickBot="1">
      <c r="A218" s="448"/>
      <c r="B218" s="407"/>
      <c r="C218" s="407"/>
      <c r="D218" s="395"/>
      <c r="E218" s="395"/>
      <c r="F218" s="396"/>
      <c r="G218" s="297"/>
      <c r="H218" s="71"/>
      <c r="I218" s="73"/>
      <c r="J218" s="74"/>
      <c r="K218" s="75"/>
    </row>
    <row r="219" spans="1:12" ht="16.5" thickBot="1">
      <c r="A219" s="446"/>
      <c r="B219" s="405"/>
      <c r="C219" s="405"/>
      <c r="D219" s="390"/>
      <c r="E219" s="390"/>
      <c r="F219" s="391"/>
      <c r="G219" s="98" t="s">
        <v>104</v>
      </c>
      <c r="H219" s="99"/>
      <c r="I219" s="100"/>
      <c r="J219" s="101"/>
      <c r="K219" s="102">
        <f>K215+K217</f>
        <v>2.7324864</v>
      </c>
    </row>
    <row r="220" spans="1:12" ht="16.5" thickBot="1">
      <c r="A220" s="397"/>
      <c r="B220" s="408"/>
      <c r="C220" s="408"/>
      <c r="D220" s="398"/>
      <c r="E220" s="398"/>
      <c r="F220" s="399"/>
      <c r="G220" s="298"/>
      <c r="H220" s="86"/>
      <c r="I220" s="625"/>
      <c r="J220" s="626"/>
      <c r="K220" s="627"/>
    </row>
    <row r="221" spans="1:12" ht="16.5" thickBot="1">
      <c r="A221" s="446"/>
      <c r="B221" s="405"/>
      <c r="C221" s="405"/>
      <c r="D221" s="390"/>
      <c r="E221" s="390"/>
      <c r="F221" s="391"/>
      <c r="G221" s="90" t="s">
        <v>36</v>
      </c>
      <c r="H221" s="91"/>
      <c r="I221" s="92"/>
      <c r="J221" s="334">
        <v>0.1</v>
      </c>
      <c r="K221" s="93">
        <f>J221*K219</f>
        <v>0.27324863999999999</v>
      </c>
      <c r="L221" s="126" t="s">
        <v>126</v>
      </c>
    </row>
    <row r="222" spans="1:12" ht="16.5" thickBot="1">
      <c r="A222" s="397"/>
      <c r="B222" s="408"/>
      <c r="C222" s="408"/>
      <c r="D222" s="398"/>
      <c r="E222" s="398"/>
      <c r="F222" s="399"/>
      <c r="G222" s="296"/>
      <c r="H222" s="71"/>
      <c r="I222" s="69"/>
      <c r="J222" s="70"/>
      <c r="K222" s="36"/>
    </row>
    <row r="223" spans="1:12" ht="16.5" thickBot="1">
      <c r="A223" s="446"/>
      <c r="B223" s="405"/>
      <c r="C223" s="405"/>
      <c r="D223" s="390"/>
      <c r="E223" s="390"/>
      <c r="F223" s="391"/>
      <c r="G223" s="219" t="s">
        <v>106</v>
      </c>
      <c r="H223" s="220"/>
      <c r="I223" s="221"/>
      <c r="J223" s="222"/>
      <c r="K223" s="223">
        <f>K221+K219</f>
        <v>3.0057350399999998</v>
      </c>
    </row>
    <row r="224" spans="1:12" ht="16.5" thickBot="1">
      <c r="A224" s="397"/>
      <c r="B224" s="408"/>
      <c r="C224" s="408"/>
      <c r="D224" s="398"/>
      <c r="E224" s="398"/>
      <c r="F224" s="399"/>
      <c r="G224" s="296"/>
      <c r="H224" s="71"/>
      <c r="I224" s="69"/>
      <c r="J224" s="70"/>
      <c r="K224" s="36"/>
    </row>
    <row r="225" spans="1:11" ht="16.5" thickBot="1">
      <c r="A225" s="446"/>
      <c r="B225" s="405"/>
      <c r="C225" s="405"/>
      <c r="D225" s="390"/>
      <c r="E225" s="390"/>
      <c r="F225" s="391"/>
      <c r="G225" s="98" t="s">
        <v>37</v>
      </c>
      <c r="H225" s="99"/>
      <c r="I225" s="100"/>
      <c r="J225" s="101"/>
      <c r="K225" s="335">
        <v>0</v>
      </c>
    </row>
    <row r="226" spans="1:11" s="215" customFormat="1" ht="16.5" thickBot="1">
      <c r="A226" s="397"/>
      <c r="B226" s="408"/>
      <c r="C226" s="408"/>
      <c r="D226" s="398"/>
      <c r="E226" s="398"/>
      <c r="F226" s="399"/>
      <c r="G226" s="210"/>
      <c r="H226" s="211"/>
      <c r="I226" s="212"/>
      <c r="J226" s="213"/>
      <c r="K226" s="214"/>
    </row>
    <row r="227" spans="1:11" ht="16.5" thickBot="1">
      <c r="A227" s="446"/>
      <c r="B227" s="405"/>
      <c r="C227" s="405"/>
      <c r="D227" s="390"/>
      <c r="E227" s="390"/>
      <c r="F227" s="391"/>
      <c r="G227" s="81" t="s">
        <v>103</v>
      </c>
      <c r="H227" s="82"/>
      <c r="I227" s="83"/>
      <c r="J227" s="334">
        <v>0.1</v>
      </c>
      <c r="K227" s="85">
        <f>J227*K225</f>
        <v>0</v>
      </c>
    </row>
    <row r="228" spans="1:11" s="215" customFormat="1" ht="16.5" thickBot="1">
      <c r="A228" s="397"/>
      <c r="B228" s="408"/>
      <c r="C228" s="408"/>
      <c r="D228" s="398"/>
      <c r="E228" s="398"/>
      <c r="F228" s="399"/>
      <c r="G228" s="210"/>
      <c r="H228" s="211"/>
      <c r="I228" s="212"/>
      <c r="J228" s="213"/>
      <c r="K228" s="214"/>
    </row>
    <row r="229" spans="1:11" ht="16.5" thickBot="1">
      <c r="A229" s="446"/>
      <c r="B229" s="405"/>
      <c r="C229" s="405"/>
      <c r="D229" s="390"/>
      <c r="E229" s="390"/>
      <c r="F229" s="391"/>
      <c r="G229" s="81" t="s">
        <v>105</v>
      </c>
      <c r="H229" s="82"/>
      <c r="I229" s="83"/>
      <c r="J229" s="84"/>
      <c r="K229" s="85">
        <f>K225+K227</f>
        <v>0</v>
      </c>
    </row>
    <row r="230" spans="1:11" ht="16.5" thickBot="1">
      <c r="A230" s="397"/>
      <c r="B230" s="408"/>
      <c r="C230" s="408"/>
      <c r="D230" s="398"/>
      <c r="E230" s="398"/>
      <c r="F230" s="399"/>
      <c r="G230" s="296"/>
      <c r="H230" s="71"/>
      <c r="I230" s="69"/>
      <c r="J230" s="70"/>
      <c r="K230" s="36"/>
    </row>
    <row r="231" spans="1:11" ht="16.5" thickBot="1">
      <c r="A231" s="449"/>
      <c r="B231" s="409"/>
      <c r="C231" s="409"/>
      <c r="D231" s="400"/>
      <c r="E231" s="400"/>
      <c r="F231" s="401"/>
      <c r="G231" s="94" t="s">
        <v>38</v>
      </c>
      <c r="H231" s="95"/>
      <c r="I231" s="96"/>
      <c r="J231" s="97"/>
      <c r="K231" s="628">
        <v>0</v>
      </c>
    </row>
  </sheetData>
  <sheetProtection sheet="1" formatCells="0" formatColumns="0" formatRows="0" insertHyperlinks="0" sort="0" autoFilter="0" pivotTables="0"/>
  <protectedRanges>
    <protectedRange sqref="I13" name="request"/>
    <protectedRange sqref="J217 J221 K225 J227 K231" name="TOTAL"/>
    <protectedRange sqref="H147 J147 A149:G179 I149:I179" name="WASHING"/>
    <protectedRange sqref="A14:G20 A23:G29 I14:I20 I23:I29 H13 J13 H22 J22" name="FABRIC"/>
    <protectedRange sqref="B4:C9 E4:E9 G3:J7 G9 I9" name="HEADER"/>
    <protectedRange sqref="H34 J34 I76:I80 H48 J48 I101:I105 A76:G80 I35:I46 A35:G46 A101:G105 I49:I59 A49:G59" name="SPECIAL TRIMS"/>
    <protectedRange sqref="H64 J64 I81:I86 A106:G110 H88 J88 A81:G86 I65:I75 A65:G75 A89:G100 I89:I100 I106:I110" name="TRIMS"/>
    <protectedRange sqref="H113 J113 A115:G145 I115:I145" name="EMBELLISHMENT"/>
    <protectedRange sqref="H198 J198 A200:G210 I200:I210" name="MISCELLENEOUS"/>
    <protectedRange sqref="M2:XFD1048576" name="EMPTY AREA"/>
  </protectedRanges>
  <mergeCells count="22">
    <mergeCell ref="A64:G64"/>
    <mergeCell ref="A2:K2"/>
    <mergeCell ref="A13:G13"/>
    <mergeCell ref="A21:J21"/>
    <mergeCell ref="A22:G22"/>
    <mergeCell ref="A30:J30"/>
    <mergeCell ref="E33:F33"/>
    <mergeCell ref="A34:G34"/>
    <mergeCell ref="A47:J47"/>
    <mergeCell ref="A48:G48"/>
    <mergeCell ref="A60:J60"/>
    <mergeCell ref="E63:F63"/>
    <mergeCell ref="E182:F182"/>
    <mergeCell ref="A199:B199"/>
    <mergeCell ref="E199:F199"/>
    <mergeCell ref="A212:K212"/>
    <mergeCell ref="A87:J87"/>
    <mergeCell ref="A88:G88"/>
    <mergeCell ref="A111:J111"/>
    <mergeCell ref="E114:F114"/>
    <mergeCell ref="E145:F145"/>
    <mergeCell ref="E148:F148"/>
  </mergeCells>
  <pageMargins left="1.299212598425197" right="0.70866141732283472" top="0.74803149606299213" bottom="0.74803149606299213" header="0.31496062992125984" footer="0.31496062992125984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New</vt:lpstr>
      <vt:lpstr>46821FAP20000S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Kimberly Sarich</dc:creator>
  <cp:lastModifiedBy>Chandra</cp:lastModifiedBy>
  <cp:lastPrinted>2019-07-30T05:55:49Z</cp:lastPrinted>
  <dcterms:created xsi:type="dcterms:W3CDTF">2019-02-02T19:16:47Z</dcterms:created>
  <dcterms:modified xsi:type="dcterms:W3CDTF">2021-03-04T16:40:13Z</dcterms:modified>
</cp:coreProperties>
</file>